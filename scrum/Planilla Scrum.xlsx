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c9509e67f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-UNLaM" sheetId="2" r:id="R5ac3877a64de4b0e"/>
    <x:sheet xmlns:r="http://schemas.openxmlformats.org/officeDocument/2006/relationships" name="Bitácora" sheetId="4" r:id="R5c463e824ce84e1a"/>
    <x:sheet xmlns:r="http://schemas.openxmlformats.org/officeDocument/2006/relationships" name="Referencias" sheetId="3" r:id="Rd9980606fe4f464e"/>
  </x:sheets>
</x:workbook>
</file>

<file path=xl/sharedStrings.xml><?xml version="1.0" encoding="utf-8"?>
<x:sst xmlns:x="http://schemas.openxmlformats.org/spreadsheetml/2006/main">
  <x:si>
    <x:t xml:space="preserve"> </x:t>
  </x:si>
  <x:si>
    <x:t xml:space="preserve">PLANTILLA DE PLAN DE PROYECTO AGILE - SCRUM</x:t>
  </x:si>
  <x:si>
    <x:t xml:space="preserve">NOMBRE DEL</x:t>
  </x:si>
  <x:si>
    <x:t xml:space="preserve">Hospital Universitario San Justo</x:t>
  </x:si>
  <x:si>
    <x:t xml:space="preserve">FECHA DE</x:t>
  </x:si>
  <x:si>
    <x:t xml:space="preserve">PROGRESO GENERAL</x:t>
  </x:si>
  <x:si>
    <x:t xml:space="preserve">RESULTADO DEL PROYECTO</x:t>
  </x:si>
  <x:si>
    <x:t xml:space="preserve">PROYECTO</x:t>
  </x:si>
  <x:si>
    <x:t xml:space="preserve">INICIO</x:t>
  </x:si>
  <x:si>
    <x:t xml:space="preserve">FINALIZACIÓN</x:t>
  </x:si>
  <x:si>
    <x:t xml:space="preserve">PRODUCT OWNER</x:t>
  </x:si>
  <x:si>
    <x:t xml:space="preserve">Mg. Bioing. María Susana Burioni</x:t>
  </x:si>
  <x:si>
    <x:t xml:space="preserve">DECLARACIÓN SOBRE EL ALCANCE</x:t>
  </x:si>
  <x:si>
    <x:t xml:space="preserve">EN RIESGO</x:t>
  </x:si>
  <x:si>
    <x:t xml:space="preserve">NOMBRE DE LA TAREA</x:t>
  </x:si>
  <x:si>
    <x:t xml:space="preserve">TIPO DE CARACTERÍSTICA</x:t>
  </x:si>
  <x:si>
    <x:t xml:space="preserve">RESPONSABLE</x:t>
  </x:si>
  <x:si>
    <x:t xml:space="preserve">NÚMERO HISTORIA USUARIO</x:t>
  </x:si>
  <x:si>
    <x:t xml:space="preserve">DURACIÓN</x:t>
  </x:si>
  <x:si>
    <x:t xml:space="preserve">ESTADO</x:t>
  </x:si>
  <x:si>
    <x:t xml:space="preserve">COMENTARIOS</x:t>
  </x:si>
  <x:si>
    <x:t xml:space="preserve">AVANCES</x:t>
  </x:si>
  <x:si>
    <x:t xml:space="preserve">(días)</x:t>
  </x:si>
  <x:si>
    <x:t xml:space="preserve">No</x:t>
  </x:si>
  <x:si>
    <x:t xml:space="preserve">EPIC 1</x:t>
  </x:si>
  <x:si>
    <x:t xml:space="preserve">Implementar el módulo de gestión integral de pacientes, que incluya registro, admisión, historial clínico básico y asignación de camas.</x:t>
  </x:si>
  <x:si>
    <x:t xml:space="preserve">M. S. Burioni</x:t>
  </x:si>
  <x:si>
    <x:t xml:space="preserve">Completado</x:t>
  </x:si>
  <x:si>
    <x:t xml:space="preserve">Historia de Usuario 1</x:t>
  </x:si>
  <x:si>
    <x:t xml:space="preserve">Como administrativo, quiero registrar un nuevo paciente con sus datos personales para crear su ficha en el sistema</x:t>
  </x:si>
  <x:si>
    <x:t xml:space="preserve">Administrativo</x:t>
  </x:si>
  <x:si>
    <x:t xml:space="preserve">Historia de Usuario 2</x:t>
  </x:si>
  <x:si>
    <x:t xml:space="preserve">Como administrativo, quiero buscar un paciente por DNI para acceder rápidamente a su ficha.</x:t>
  </x:si>
  <x:si>
    <x:t xml:space="preserve">Historia de Usuario 3</x:t>
  </x:si>
  <x:si>
    <x:t xml:space="preserve">Como médico, quiero registrar el motivo de consulta y los signos vitales del paciente en la admisión.</x:t>
  </x:si>
  <x:si>
    <x:t xml:space="preserve">Profesional</x:t>
  </x:si>
  <x:si>
    <x:t xml:space="preserve">EPIC 2</x:t>
  </x:si>
  <x:si>
    <x:t xml:space="preserve">Implementar el módulo de gestión de profesionales, que incluya registro, alta como personal, adscripción a un servicio, acceso a historial clínico básico de los pacientes.</x:t>
  </x:si>
  <x:si>
    <x:t xml:space="preserve">En curso</x:t>
  </x:si>
  <x:si>
    <x:t xml:space="preserve">Historia de Usuario 4</x:t>
  </x:si>
  <x:si>
    <x:t xml:space="preserve">Como administrativo, quiero crear las tablas maestras de Especialidades médicas, Nomenclatura SNOMED CT y Fármacos.</x:t>
  </x:si>
  <x:si>
    <x:t xml:space="preserve">Historia de Usuario 5</x:t>
  </x:si>
  <x:si>
    <x:t xml:space="preserve">Como administrativo, quiero registrar un nuevo profesional con sus datos personales y especialidad para crear su ficha en el sistema.</x:t>
  </x:si>
  <x:si>
    <x:t xml:space="preserve">Historia de Usuario 6</x:t>
  </x:si>
  <x:si>
    <x:t xml:space="preserve">Como médico, quiero poder prescribir medicamentos a mis pacientes.</x:t>
  </x:si>
  <x:si>
    <x:t xml:space="preserve">Historia de Usuario 7</x:t>
  </x:si>
  <x:si>
    <x:t xml:space="preserve">Como médico, quiero poder generar y recibir registros de interoperabilidad FHIR para compartir datos de intervenciones médicas con otras instituciones.</x:t>
  </x:si>
  <x:si>
    <x:t xml:space="preserve">Sin iniciar</x:t>
  </x:si>
  <x:si>
    <x:t xml:space="preserve">Historia de Usuario 8</x:t>
  </x:si>
  <x:si>
    <x:t xml:space="preserve">Como médico, quiero acceder a las intervenciones hechas a mis pacientes.</x:t>
  </x:si>
  <x:si>
    <x:t xml:space="preserve">EPIC 3</x:t>
  </x:si>
  <x:si>
    <x:t xml:space="preserve">Desarrollar el módulo de gestión de turnos médicos con agenda profesional, reserva web, asignación automática y recordatorios.</x:t>
  </x:si>
  <x:si>
    <x:t xml:space="preserve">Historia de Usuario 9</x:t>
  </x:si>
  <x:si>
    <x:t xml:space="preserve">Como recepcionista, quiero visualizar la agenda de turnos del día para organizar la atención.</x:t>
  </x:si>
  <x:si>
    <x:t xml:space="preserve">Recepcionista</x:t>
  </x:si>
  <x:si>
    <x:t xml:space="preserve">Historia de Usuario 10</x:t>
  </x:si>
  <x:si>
    <x:t xml:space="preserve">Como paciente, quiero solicitar un turno desde la web seleccionando especialidad y fecha para recibir atención.</x:t>
  </x:si>
  <x:si>
    <x:t xml:space="preserve">Paciente</x:t>
  </x:si>
  <x:si>
    <x:t xml:space="preserve">Historia de Usuario 11</x:t>
  </x:si>
  <x:si>
    <x:t xml:space="preserve">Como paciente, quiero recibir un recordatorio por SMS 24 horas antes del turno para no olvidarlo.</x:t>
  </x:si>
  <x:si>
    <x:t xml:space="preserve">SCRUM MASTER</x:t>
  </x:si>
  <x:si>
    <x:t xml:space="preserve">ana</x:t>
  </x:si>
  <x:si>
    <x:t xml:space="preserve">SPRINT 1</x:t>
  </x:si>
  <x:si>
    <x:t xml:space="preserve">Desarrollar el registro y búsqueda básica de pacientes para que el administrativo pueda dar de alta y localizar fichas rápidamente.</x:t>
  </x:si>
  <x:si>
    <x:t xml:space="preserve">paco</x:t>
  </x:si>
  <x:si>
    <x:t xml:space="preserve">HU-01, HU-02</x:t>
  </x:si>
  <x:si>
    <x:t xml:space="preserve">SPRINT 2</x:t>
  </x:si>
  <x:si>
    <x:t xml:space="preserve">Implementar el registro de signos vitales y motivo de consulta durante la admisión médica. Permitir modificaciones y bajas.</x:t>
  </x:si>
  <x:si>
    <x:t xml:space="preserve">guille</x:t>
  </x:si>
  <x:si>
    <x:t xml:space="preserve">HU-03</x:t>
  </x:si>
  <x:si>
    <x:t xml:space="preserve">SPRINT 3</x:t>
  </x:si>
  <x:si>
    <x:t xml:space="preserve">HU-04, HU-05</x:t>
  </x:si>
  <x:si>
    <x:t xml:space="preserve">SPRINT 4</x:t>
  </x:si>
  <x:si>
    <x:t xml:space="preserve">Implementar sistema de prescripción de medicamentos a pacientes y Módulo de Interoperabilidad FHIR para compartir y recibir datos de intervenciones médicas con otras instituciones</x:t>
  </x:si>
  <x:si>
    <x:t xml:space="preserve">martín</x:t>
  </x:si>
  <x:si>
    <x:t xml:space="preserve">HU-06, HU-07</x:t>
  </x:si>
  <x:si>
    <x:t xml:space="preserve">SPRINT 5</x:t>
  </x:si>
  <x:si>
    <x:t xml:space="preserve">Implementar un formulario de acceso y consulta de intervenciones en sus pacientes.</x:t>
  </x:si>
  <x:si>
    <x:t xml:space="preserve">HU-08</x:t>
  </x:si>
  <x:si>
    <x:t xml:space="preserve">SPRINT 6</x:t>
  </x:si>
  <x:si>
    <x:t xml:space="preserve">Implementar la agenda del profesional médico.</x:t>
  </x:si>
  <x:si>
    <x:t xml:space="preserve">HU-09</x:t>
  </x:si>
  <x:si>
    <x:t xml:space="preserve">SPRINT 7</x:t>
  </x:si>
  <x:si>
    <x:t xml:space="preserve">Desarrollar la reserva de turnos por web para que los pacientes puedan autogestionar sus citas. Implementar los recordatorios vía SMS.</x:t>
  </x:si>
  <x:si>
    <x:t xml:space="preserve">HU-10, HU-11</x:t>
  </x:si>
  <x:si>
    <x:t xml:space="preserve">BITÁCORA DE REUNIÓN DÍARIA</x:t>
  </x:si>
  <x:si>
    <x:t xml:space="preserve">SPRINT / HISTORIA DE USUARIO</x:t>
  </x:si>
  <x:si>
    <x:t xml:space="preserve">DESCRIPCIÓN</x:t>
  </x:si>
  <x:si>
    <x:t xml:space="preserve">RESULTADO</x:t>
  </x:si>
  <x:si>
    <x:t xml:space="preserve">EVIDENCIA</x:t>
  </x:si>
  <x:si>
    <x:t xml:space="preserve">HU-01</x:t>
  </x:si>
  <x:si>
    <x:t xml:space="preserve">HU-02</x:t>
  </x:si>
  <x:si>
    <x:t xml:space="preserve">HU-04</x:t>
  </x:si>
  <x:si>
    <x:t xml:space="preserve">HU-05</x:t>
  </x:si>
  <x:si>
    <x:t xml:space="preserve">Implementar sistema de prescripción de medicamentos a pacientes y Módulo de Interoperabilidad FHIR para compartir y recibir datos de intervenciones médicas con otras instituciones.</x:t>
  </x:si>
  <x:si>
    <x:t xml:space="preserve">HU-06</x:t>
  </x:si>
  <x:si>
    <x:t xml:space="preserve">Como médico, quiero poder poder prescribir medicamentos a mis pacientes.</x:t>
  </x:si>
  <x:si>
    <x:t xml:space="preserve">HU-07</x:t>
  </x:si>
  <x:si>
    <x:t xml:space="preserve">HU-10</x:t>
  </x:si>
  <x:si>
    <x:t xml:space="preserve">HU-11</x:t>
  </x:si>
  <x:si>
    <x:t xml:space="preserve">SÍ / NO</x:t>
  </x:si>
  <x:si>
    <x:t xml:space="preserve">PRIORIDAD</x:t>
  </x:si>
  <x:si>
    <x:t xml:space="preserve">Sí</x:t>
  </x:si>
  <x:si>
    <x:t xml:space="preserve">Bajo</x:t>
  </x:si>
  <x:si>
    <x:t xml:space="preserve">Medio</x:t>
  </x:si>
  <x:si>
    <x:t xml:space="preserve">Alto</x:t>
  </x:si>
  <x:si>
    <x:t xml:space="preserve">Necesita revisión</x:t>
  </x:si>
  <x:si>
    <x:t xml:space="preserve">Aprobado</x:t>
  </x:si>
  <x:si>
    <x:t xml:space="preserve">Atrasado</x:t>
  </x:si>
  <x:si>
    <x:t xml:space="preserve">En espera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</x:si>
</x:sst>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0"/>
      <x:color rgb="FF000000"/>
      <x:name val="Century Gothic"/>
    </x:font>
    <x:font>
      <x:b/>
      <x:sz val="24"/>
      <x:color rgb="FF595959"/>
      <x:name val="Century Gothic"/>
    </x:font>
    <x:font>
      <x:b/>
      <x:sz val="10"/>
      <x:color rgb="FF000000"/>
      <x:name val="Century Gothic"/>
    </x:font>
    <x:font>
      <x:sz val="11"/>
      <x:color rgb="FF000000"/>
      <x:name val="Century Gothic"/>
    </x:font>
    <x:font>
      <x:b/>
      <x:sz val="10"/>
      <x:color rgb="FF000000"/>
      <x:name val="Century Gothic"/>
    </x:font>
    <x:font>
      <x:sz val="10"/>
      <x:color rgb="FF000000"/>
      <x:name val="Century Gothic"/>
    </x:font>
    <x:font>
      <x:sz val="11"/>
      <x:color rgb="FF000000"/>
      <x:name val="Century Gothic"/>
    </x:font>
    <x:font>
      <x:sz val="12"/>
      <x:color rgb="FF000000"/>
      <x:name val="Calibri"/>
    </x:font>
    <x:font>
      <x:b/>
      <x:sz val="12"/>
      <x:color theme="1"/>
      <x:name val="Arial"/>
    </x:font>
    <x:font>
      <x:b/>
      <x:sz val="11"/>
      <x:color theme="1"/>
      <x:name val="Arial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9FB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9F9F9"/>
      </x:patternFill>
    </x:fill>
    <x:fill>
      <x:patternFill patternType="solid">
        <x:fgColor rgb="FFD6DCE4"/>
      </x:patternFill>
    </x:fill>
    <x:fill>
      <x:patternFill patternType="solid">
        <x:fgColor rgb="FFFFD966"/>
      </x:patternFill>
    </x:fill>
    <x:fill>
      <x:patternFill patternType="solid">
        <x:fgColor rgb="FFB6FBF5"/>
      </x:patternFill>
    </x:fill>
    <x:fill>
      <x:patternFill patternType="solid">
        <x:fgColor rgb="FFE1FBFB"/>
      </x:patternFill>
    </x:fill>
    <x:fill>
      <x:patternFill patternType="solid">
        <x:fgColor rgb="FF03C25B"/>
      </x:patternFill>
    </x:fill>
    <x:fill>
      <x:patternFill patternType="solid">
        <x:fgColor rgb="FFEAEEF3"/>
      </x:patternFill>
    </x:fill>
    <x:fill>
      <x:patternFill patternType="solid">
        <x:fgColor rgb="FF92D050"/>
      </x:patternFill>
    </x:fill>
    <x:fill>
      <x:patternFill patternType="solid">
        <x:fgColor rgb="FFC7E683"/>
      </x:patternFill>
    </x:fill>
    <x:fill>
      <x:patternFill patternType="solid">
        <x:fgColor rgb="FF5EE9E7"/>
      </x:patternFill>
    </x:fill>
    <x:fill>
      <x:patternFill patternType="solid">
        <x:fgColor rgb="FFABEFEA"/>
      </x:patternFill>
    </x:fill>
    <x:fill>
      <x:patternFill patternType="solid">
        <x:fgColor rgb="FF9FDEEC"/>
      </x:patternFill>
    </x:fill>
    <x:fill>
      <x:patternFill patternType="solid">
        <x:fgColor rgb="FFFFF2CC"/>
      </x:patternFill>
    </x:fill>
    <x:fill>
      <x:patternFill patternType="solid">
        <x:fgColor rgb="FF00EAF0"/>
      </x:patternFill>
    </x:fill>
    <x:fill>
      <x:patternFill patternType="solid">
        <x:fgColor rgb="FFFFC000"/>
      </x:patternFill>
    </x:fill>
    <x:fill>
      <x:patternFill patternType="solid">
        <x:fgColor rgb="FFFF0000"/>
      </x:patternFill>
    </x:fill>
    <x:fill>
      <x:patternFill patternType="solid">
        <x:fgColor theme="4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theme="7" tint="0.39998"/>
      </x:patternFill>
    </x:fill>
  </x:fills>
  <x:borders count="41">
    <x:border/>
    <x:border>
      <x:left style="thin">
        <x:color rgb="FFBFBFBF"/>
      </x:left>
      <x:top style="medium">
        <x:color rgb="FFBFBFBF"/>
      </x:top>
    </x:border>
    <x:border>
      <x:top style="medium">
        <x:color rgb="FFBFBFBF"/>
      </x:top>
    </x:border>
    <x:border>
      <x:right style="thin">
        <x:color rgb="FFBFBFBF"/>
      </x:right>
      <x:top style="medium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medium">
        <x:color rgb="FFBFBFBF"/>
      </x:right>
      <x:top style="medium">
        <x:color rgb="FFBFBFBF"/>
      </x:top>
    </x:border>
    <x:border>
      <x:left style="thin">
        <x:color rgb="FFBFBFBF"/>
      </x:left>
      <x:right style="medium">
        <x:color rgb="FFBFBFBF"/>
      </x:right>
      <x:bottom style="thin">
        <x:color rgb="FFBFBFBF"/>
      </x:bottom>
    </x:border>
    <x:border>
      <x:left style="medium">
        <x:color rgb="FFBFBFBF"/>
      </x:left>
      <x:right style="medium">
        <x:color rgb="FFBFBFBF"/>
      </x:right>
      <x:top style="medium">
        <x:color rgb="FFBFBFBF"/>
      </x:top>
    </x:border>
    <x:border>
      <x:left style="medium">
        <x:color rgb="FFBFBFBF"/>
      </x:left>
      <x:right style="medium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medium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medium">
        <x:color rgb="FFBFBFBF"/>
      </x:right>
      <x:top style="thin">
        <x:color rgb="FFBFBFBF"/>
      </x:top>
    </x:border>
    <x:border>
      <x:left style="medium">
        <x:color rgb="FFBFBFBF"/>
      </x:left>
      <x:right style="medium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BFBFBF"/>
      </x:left>
      <x:right style="medium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  <x:top style="thick">
        <x:color rgb="FFBFBFBF"/>
      </x:top>
    </x:border>
    <x:border>
      <x:left style="thin">
        <x:color rgb="FFBFBFBF"/>
      </x:left>
      <x:right style="thin">
        <x:color rgb="FFBFBFBF"/>
      </x:right>
      <x:bottom style="double">
        <x:color rgb="FFBFBFBF"/>
      </x:bottom>
    </x:border>
    <x:border>
      <x:left style="thin">
        <x:color rgb="FFBFBFBF"/>
      </x:left>
      <x:right style="medium">
        <x:color rgb="FFBFBFBF"/>
      </x:right>
      <x:top style="thick">
        <x:color rgb="FFBFBFBF"/>
      </x:top>
    </x:border>
    <x:border>
      <x:left style="thin">
        <x:color rgb="FFBFBFBF"/>
      </x:left>
      <x:right style="medium">
        <x:color rgb="FFBFBFBF"/>
      </x:right>
      <x:bottom style="double">
        <x:color rgb="FFBFBFBF"/>
      </x:bottom>
    </x:border>
    <x:border>
      <x:left style="medium">
        <x:color rgb="FFBFBFBF"/>
      </x:left>
      <x:right style="medium">
        <x:color rgb="FFBFBFBF"/>
      </x:right>
      <x:top style="thick">
        <x:color rgb="FFBFBFBF"/>
      </x:top>
    </x:border>
    <x:border>
      <x:left style="medium">
        <x:color rgb="FFBFBFBF"/>
      </x:left>
      <x:right style="medium">
        <x:color rgb="FFBFBFBF"/>
      </x:right>
      <x:bottom style="double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double">
        <x:color rgb="FFBFBFBF"/>
      </x:bottom>
    </x:border>
    <x:border>
      <x:left style="thin">
        <x:color rgb="FFBFBFBF"/>
      </x:left>
      <x:right style="medium">
        <x:color rgb="FFBFBFBF"/>
      </x:right>
      <x:top style="thin">
        <x:color rgb="FFBFBFBF"/>
      </x:top>
      <x:bottom style="double">
        <x:color rgb="FFBFBFBF"/>
      </x:bottom>
    </x:border>
    <x:border>
      <x:right style="thin">
        <x:color rgb="FFBFBFBF"/>
      </x:right>
      <x:top style="thin">
        <x:color rgb="FFBFBFBF"/>
      </x:top>
      <x:bottom style="double">
        <x:color rgb="FFBFBFBF"/>
      </x:bottom>
    </x:border>
    <x:border>
      <x:left style="medium">
        <x:color rgb="FFBFBFBF"/>
      </x:left>
      <x:right style="medium">
        <x:color rgb="FFBFBFBF"/>
      </x:right>
      <x:top style="thin">
        <x:color rgb="FFBFBFBF"/>
      </x:top>
      <x:bottom style="double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right style="thin">
        <x:color rgb="FFBFBFBF"/>
      </x:right>
    </x:border>
    <x:border>
      <x:left style="medium">
        <x:color rgb="FFBFBFBF"/>
      </x:left>
      <x:right style="thin">
        <x:color rgb="FFBFBFBF"/>
      </x:right>
      <x:top style="thick">
        <x:color rgb="FFBFBFBF"/>
      </x:top>
    </x:border>
    <x:border>
      <x:left style="medium">
        <x:color rgb="FFBFBFBF"/>
      </x:left>
      <x:right style="thin">
        <x:color rgb="FFBFBFBF"/>
      </x:right>
      <x:bottom style="double">
        <x:color rgb="FFBFBFBF"/>
      </x:bottom>
    </x:border>
    <x:border>
      <x:left style="thin">
        <x:color rgb="FFBFBFBF"/>
      </x:left>
      <x:right style="thin">
        <x:color rgb="FFBFBFBF"/>
      </x:right>
      <x:top style="thick">
        <x:color rgb="FFBFBFBF"/>
      </x:top>
      <x:bottom style="thin">
        <x:color rgb="FFBFBFBF"/>
      </x:bottom>
    </x:border>
    <x:border>
      <x:left style="thin">
        <x:color rgb="FFBFBFBF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1" fillId="0" borderId="0" xfId="0" applyFont="1"/>
    <x:xf numFmtId="0" fontId="3" fillId="0" borderId="0" xfId="0" applyFont="1" applyAlignment="1">
      <x:alignment horizontal="right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3" fillId="4" borderId="6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center" vertical="center" wrapText="1"/>
    </x:xf>
    <x:xf numFmtId="0" fontId="3" fillId="4" borderId="8" xfId="0" applyFont="1" applyFill="1" applyBorder="1" applyAlignment="1">
      <x:alignment horizontal="center" vertical="center" wrapText="1"/>
    </x:xf>
    <x:xf numFmtId="0" fontId="3" fillId="7" borderId="24" xfId="0" applyFont="1" applyFill="1" applyBorder="1" applyAlignment="1">
      <x:alignment horizontal="center" vertical="center" wrapText="1"/>
    </x:xf>
    <x:xf numFmtId="0" fontId="1" fillId="7" borderId="25" xfId="0" applyFont="1" applyFill="1" applyBorder="1" applyAlignment="1">
      <x:alignment horizontal="center" vertical="center" wrapText="1"/>
    </x:xf>
    <x:xf numFmtId="0" fontId="1" fillId="5" borderId="26" xfId="0" applyFont="1" applyFill="1" applyBorder="1" applyAlignment="1">
      <x:alignment horizontal="center" vertical="center" wrapText="1"/>
    </x:xf>
    <x:xf numFmtId="0" fontId="1" fillId="8" borderId="26" xfId="0" applyFont="1" applyFill="1" applyBorder="1" applyAlignment="1">
      <x:alignment horizontal="left" vertical="center" wrapText="1"/>
    </x:xf>
    <x:xf numFmtId="0" fontId="1" fillId="8" borderId="8" xfId="0" applyFont="1" applyFill="1" applyBorder="1" applyAlignment="1">
      <x:alignment horizontal="left" vertical="center" wrapText="1"/>
    </x:xf>
    <x:xf numFmtId="16" fontId="1" fillId="8" borderId="6" xfId="0" applyNumberFormat="1" applyFont="1" applyFill="1" applyBorder="1" applyAlignment="1">
      <x:alignment horizontal="center" vertical="center" wrapText="1"/>
    </x:xf>
    <x:xf numFmtId="0" fontId="1" fillId="8" borderId="10" xfId="0" applyFont="1" applyFill="1" applyBorder="1" applyAlignment="1">
      <x:alignment horizontal="center" vertical="center" wrapText="1"/>
    </x:xf>
    <x:xf numFmtId="0" fontId="1" fillId="10" borderId="18" xfId="0" applyFont="1" applyFill="1" applyBorder="1" applyAlignment="1">
      <x:alignment horizontal="center" vertical="center" wrapText="1"/>
    </x:xf>
    <x:xf numFmtId="0" fontId="1" fillId="5" borderId="11" xfId="0" applyFont="1" applyFill="1" applyBorder="1" applyAlignment="1">
      <x:alignment horizontal="center" vertical="center" wrapText="1"/>
    </x:xf>
    <x:xf numFmtId="0" fontId="1" fillId="2" borderId="11" xfId="0" applyFont="1" applyFill="1" applyBorder="1" applyAlignment="1">
      <x:alignment horizontal="left" vertical="center" wrapText="1"/>
    </x:xf>
    <x:xf numFmtId="0" fontId="1" fillId="2" borderId="16" xfId="0" applyFont="1" applyFill="1" applyBorder="1" applyAlignment="1">
      <x:alignment horizontal="left" vertical="center" wrapText="1"/>
    </x:xf>
    <x:xf numFmtId="16" fontId="1" fillId="2" borderId="15" xfId="0" applyNumberFormat="1" applyFont="1" applyFill="1" applyBorder="1" applyAlignment="1">
      <x:alignment horizontal="center" vertical="center" wrapText="1"/>
    </x:xf>
    <x:xf numFmtId="16" fontId="1" fillId="2" borderId="16" xfId="0" applyNumberFormat="1" applyFont="1" applyFill="1" applyBorder="1" applyAlignment="1">
      <x:alignment horizontal="center" vertical="center" wrapText="1"/>
    </x:xf>
    <x:xf numFmtId="0" fontId="1" fillId="12" borderId="18" xfId="0" applyFont="1" applyFill="1" applyBorder="1" applyAlignment="1">
      <x:alignment horizontal="center" vertical="center" wrapText="1"/>
    </x:xf>
    <x:xf numFmtId="0" fontId="1" fillId="5" borderId="27" xfId="0" applyFont="1" applyFill="1" applyBorder="1" applyAlignment="1">
      <x:alignment horizontal="center" vertical="center" wrapText="1"/>
    </x:xf>
    <x:xf numFmtId="0" fontId="1" fillId="2" borderId="27" xfId="0" applyFont="1" applyFill="1" applyBorder="1" applyAlignment="1">
      <x:alignment horizontal="left" vertical="center" wrapText="1"/>
    </x:xf>
    <x:xf numFmtId="0" fontId="1" fillId="2" borderId="28" xfId="0" applyFont="1" applyFill="1" applyBorder="1" applyAlignment="1">
      <x:alignment horizontal="left" vertical="center" wrapText="1"/>
    </x:xf>
    <x:xf numFmtId="16" fontId="1" fillId="2" borderId="29" xfId="0" applyNumberFormat="1" applyFont="1" applyFill="1" applyBorder="1" applyAlignment="1">
      <x:alignment horizontal="center" vertical="center" wrapText="1"/>
    </x:xf>
    <x:xf numFmtId="0" fontId="1" fillId="12" borderId="30" xfId="0" applyFont="1" applyFill="1" applyBorder="1" applyAlignment="1">
      <x:alignment horizontal="center" vertical="center" wrapText="1"/>
    </x:xf>
    <x:xf numFmtId="0" fontId="1" fillId="14" borderId="26" xfId="0" applyFont="1" applyFill="1" applyBorder="1" applyAlignment="1">
      <x:alignment horizontal="left" vertical="center" wrapText="1"/>
    </x:xf>
    <x:xf numFmtId="0" fontId="1" fillId="14" borderId="8" xfId="0" applyFont="1" applyFill="1" applyBorder="1" applyAlignment="1">
      <x:alignment horizontal="left" vertical="center" wrapText="1"/>
    </x:xf>
    <x:xf numFmtId="17" fontId="1" fillId="14" borderId="8" xfId="0" applyNumberFormat="1" applyFont="1" applyFill="1" applyBorder="1" applyAlignment="1">
      <x:alignment horizontal="center" vertical="center" wrapText="1"/>
    </x:xf>
    <x:xf numFmtId="0" fontId="1" fillId="14" borderId="10" xfId="0" applyFont="1" applyFill="1" applyBorder="1" applyAlignment="1">
      <x:alignment horizontal="center" vertical="center" wrapText="1"/>
    </x:xf>
    <x:xf numFmtId="0" fontId="1" fillId="2" borderId="11" xfId="0" applyFont="1" applyFill="1" applyBorder="1" applyAlignment="1">
      <x:alignment horizontal="left" vertical="center" wrapText="1"/>
    </x:xf>
    <x:xf numFmtId="0" fontId="1" fillId="2" borderId="16" xfId="0" applyFont="1" applyFill="1" applyBorder="1" applyAlignment="1">
      <x:alignment horizontal="left" vertical="center" wrapText="1"/>
    </x:xf>
    <x:xf numFmtId="17" fontId="1" fillId="2" borderId="15" xfId="0" applyNumberFormat="1" applyFont="1" applyFill="1" applyBorder="1" applyAlignment="1">
      <x:alignment horizontal="center" vertical="center" wrapText="1"/>
    </x:xf>
    <x:xf numFmtId="17" fontId="1" fillId="2" borderId="16" xfId="0" applyNumberFormat="1" applyFont="1" applyFill="1" applyBorder="1" applyAlignment="1">
      <x:alignment horizontal="center" vertical="center" wrapText="1"/>
    </x:xf>
    <x:xf numFmtId="0" fontId="1" fillId="2" borderId="27" xfId="0" applyFont="1" applyFill="1" applyBorder="1" applyAlignment="1">
      <x:alignment horizontal="left" vertical="center" wrapText="1"/>
    </x:xf>
    <x:xf numFmtId="0" fontId="1" fillId="2" borderId="28" xfId="0" applyFont="1" applyFill="1" applyBorder="1" applyAlignment="1">
      <x:alignment horizontal="left" vertical="center" wrapText="1"/>
    </x:xf>
    <x:xf numFmtId="0" fontId="1" fillId="17" borderId="26" xfId="0" applyFont="1" applyFill="1" applyBorder="1" applyAlignment="1">
      <x:alignment horizontal="left" vertical="center" wrapText="1"/>
    </x:xf>
    <x:xf numFmtId="0" fontId="1" fillId="17" borderId="8" xfId="0" applyFont="1" applyFill="1" applyBorder="1" applyAlignment="1">
      <x:alignment horizontal="left" vertical="center" wrapText="1"/>
    </x:xf>
    <x:xf numFmtId="17" fontId="1" fillId="17" borderId="6" xfId="0" applyNumberFormat="1" applyFont="1" applyFill="1" applyBorder="1" applyAlignment="1">
      <x:alignment horizontal="center" vertical="center" wrapText="1"/>
    </x:xf>
    <x:xf numFmtId="16" fontId="1" fillId="17" borderId="8" xfId="0" applyNumberFormat="1" applyFont="1" applyFill="1" applyBorder="1" applyAlignment="1">
      <x:alignment horizontal="center" vertical="center" wrapText="1"/>
    </x:xf>
    <x:xf numFmtId="0" fontId="1" fillId="17" borderId="10" xfId="0" applyFont="1" applyFill="1" applyBorder="1" applyAlignment="1">
      <x:alignment horizontal="center" vertical="center" wrapText="1"/>
    </x:xf>
    <x:xf numFmtId="0" fontId="1" fillId="17" borderId="6" xfId="0" applyFont="1" applyFill="1" applyBorder="1" applyAlignment="1">
      <x:alignment horizontal="left" vertical="center" wrapText="1"/>
    </x:xf>
    <x:xf numFmtId="0" fontId="1" fillId="18" borderId="15" xfId="0" applyFont="1" applyFill="1" applyBorder="1" applyAlignment="1">
      <x:alignment horizontal="left" vertical="center" wrapText="1"/>
    </x:xf>
    <x:xf numFmtId="16" fontId="1" fillId="2" borderId="16" xfId="0" applyNumberFormat="1" applyFont="1" applyFill="1" applyBorder="1" applyAlignment="1">
      <x:alignment horizontal="center" vertical="center" wrapText="1"/>
    </x:xf>
    <x:xf numFmtId="0" fontId="5" fillId="5" borderId="35" xfId="0" applyFont="1" applyFill="1" applyBorder="1" applyAlignment="1">
      <x:alignment horizontal="center" vertical="center" wrapText="1"/>
    </x:xf>
    <x:xf numFmtId="0" fontId="6" fillId="9" borderId="11" xfId="0" applyFont="1" applyFill="1" applyBorder="1" applyAlignment="1">
      <x:alignment horizontal="center" vertical="center"/>
    </x:xf>
    <x:xf numFmtId="0" fontId="6" fillId="19" borderId="11" xfId="0" applyFont="1" applyFill="1" applyBorder="1" applyAlignment="1">
      <x:alignment horizontal="left" vertical="center"/>
    </x:xf>
    <x:xf numFmtId="0" fontId="6" fillId="18" borderId="11" xfId="0" applyFont="1" applyFill="1" applyBorder="1" applyAlignment="1">
      <x:alignment horizontal="left" vertical="center" wrapText="1"/>
    </x:xf>
    <x:xf numFmtId="0" fontId="6" fillId="5" borderId="11" xfId="0" applyFont="1" applyFill="1" applyBorder="1" applyAlignment="1">
      <x:alignment horizontal="center" vertical="center"/>
    </x:xf>
    <x:xf numFmtId="0" fontId="6" fillId="20" borderId="11" xfId="0" applyFont="1" applyFill="1" applyBorder="1" applyAlignment="1">
      <x:alignment horizontal="left" vertical="center"/>
    </x:xf>
    <x:xf numFmtId="0" fontId="6" fillId="13" borderId="11" xfId="0" applyFont="1" applyFill="1" applyBorder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6" fillId="21" borderId="11" xfId="0" applyFont="1" applyFill="1" applyBorder="1" applyAlignment="1">
      <x:alignment horizontal="left" vertical="center"/>
    </x:xf>
    <x:xf numFmtId="0" fontId="6" fillId="11" borderId="11" xfId="0" applyFont="1" applyFill="1" applyBorder="1" applyAlignment="1">
      <x:alignment horizontal="left" vertical="center" wrapText="1"/>
    </x:xf>
    <x:xf numFmtId="0" fontId="7" fillId="0" borderId="0" xfId="0" applyFont="1"/>
    <x:xf numFmtId="0" fontId="6" fillId="16" borderId="11" xfId="0" applyFont="1" applyFill="1" applyBorder="1" applyAlignment="1">
      <x:alignment horizontal="left" vertical="center" wrapText="1"/>
    </x:xf>
    <x:xf numFmtId="0" fontId="6" fillId="15" borderId="11" xfId="0" applyFont="1" applyFill="1" applyBorder="1" applyAlignment="1">
      <x:alignment horizontal="left" vertical="center" wrapText="1"/>
    </x:xf>
    <x:xf numFmtId="0" fontId="8" fillId="0" borderId="0" xfId="0" applyFont="1"/>
    <x:xf numFmtId="0" fontId="6" fillId="8" borderId="11" xfId="0" applyFont="1" applyFill="1" applyBorder="1" applyAlignment="1">
      <x:alignment horizontal="left" vertical="center" wrapText="1"/>
    </x:xf>
    <x:xf numFmtId="0" fontId="6" fillId="5" borderId="11" xfId="0" applyFont="1" applyFill="1" applyBorder="1" applyAlignment="1">
      <x:alignment horizontal="left" vertical="center" wrapText="1"/>
    </x:xf>
    <x:xf numFmtId="16" fontId="3" fillId="7" borderId="36" xfId="0" applyNumberFormat="1" applyFont="1" applyFill="1" applyBorder="1" applyAlignment="1">
      <x:alignment vertical="center" wrapText="1"/>
    </x:xf>
    <x:xf numFmtId="16" fontId="3" fillId="7" borderId="0" xfId="0" applyNumberFormat="1" applyFont="1" applyFill="1" applyAlignment="1">
      <x:alignment vertical="center" wrapText="1"/>
    </x:xf>
    <x:xf numFmtId="0" fontId="2" fillId="0" borderId="0" xfId="0" applyFont="1" applyAlignment="1">
      <x:alignment horizontal="center" vertical="center"/>
    </x:xf>
    <x:xf numFmtId="0" fontId="1" fillId="0" borderId="11" xfId="0" applyFont="1" applyBorder="1" applyAlignment="1">
      <x:alignment horizontal="left" vertical="center" wrapText="1"/>
    </x:xf>
    <x:xf numFmtId="0" fontId="1" fillId="8" borderId="26" xfId="0" applyFont="1" applyFill="1" applyBorder="1" applyAlignment="1">
      <x:alignment horizontal="center" vertical="center" wrapText="1"/>
    </x:xf>
    <x:xf numFmtId="0" fontId="1" fillId="2" borderId="11" xfId="0" applyFont="1" applyFill="1" applyBorder="1" applyAlignment="1">
      <x:alignment horizontal="center" vertical="center" wrapText="1"/>
    </x:xf>
    <x:xf numFmtId="0" fontId="1" fillId="0" borderId="11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17" fontId="1" fillId="0" borderId="16" xfId="0" applyNumberFormat="1" applyFont="1" applyBorder="1" applyAlignment="1">
      <x:alignment horizontal="center" vertical="center" wrapText="1"/>
    </x:xf>
    <x:xf numFmtId="0" fontId="1" fillId="0" borderId="16" xfId="0" applyFont="1" applyBorder="1" applyAlignment="1">
      <x:alignment horizontal="left" vertical="center" wrapText="1"/>
    </x:xf>
    <x:xf numFmtId="16" fontId="1" fillId="0" borderId="15" xfId="0" applyNumberFormat="1" applyFont="1" applyBorder="1" applyAlignment="1">
      <x:alignment horizontal="center" vertical="center" wrapText="1"/>
    </x:xf>
    <x:xf numFmtId="16" fontId="1" fillId="0" borderId="16" xfId="0" applyNumberFormat="1" applyFont="1" applyBorder="1" applyAlignment="1">
      <x:alignment horizontal="center" vertical="center" wrapText="1"/>
    </x:xf>
    <x:xf numFmtId="0" fontId="1" fillId="2" borderId="27" xfId="0" applyFont="1" applyFill="1" applyBorder="1" applyAlignment="1">
      <x:alignment horizontal="center" vertical="center" wrapText="1"/>
    </x:xf>
    <x:xf numFmtId="0" fontId="0" fillId="22" borderId="0" xfId="0" applyFill="1"/>
    <x:xf numFmtId="0" fontId="1" fillId="8" borderId="26" xfId="0" applyFont="1" applyFill="1" applyBorder="1" applyAlignment="1">
      <x:alignment horizontal="center" vertical="center" wrapText="1"/>
    </x:xf>
    <x:xf numFmtId="0" fontId="1" fillId="8" borderId="8" xfId="0" applyFont="1" applyFill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1" fillId="0" borderId="16" xfId="0" applyFont="1" applyBorder="1" applyAlignment="1">
      <x:alignment horizontal="center" vertical="center" wrapText="1"/>
    </x:xf>
    <x:xf numFmtId="0" fontId="1" fillId="2" borderId="1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8" borderId="26" xfId="0" applyFont="1" applyFill="1" applyBorder="1" applyAlignment="1">
      <x:alignment horizontal="left" vertical="center" wrapText="1"/>
    </x:xf>
    <x:xf numFmtId="0" fontId="1" fillId="0" borderId="11" xfId="0" applyFont="1" applyBorder="1" applyAlignment="1">
      <x:alignment horizontal="left" vertical="center" wrapText="1"/>
    </x:xf>
    <x:xf numFmtId="0" fontId="1" fillId="2" borderId="11" xfId="0" applyFont="1" applyFill="1" applyBorder="1" applyAlignment="1">
      <x:alignment horizontal="left" vertical="center" wrapText="1"/>
    </x:xf>
    <x:xf numFmtId="0" fontId="1" fillId="23" borderId="26" xfId="0" applyFont="1" applyFill="1" applyBorder="1" applyAlignment="1">
      <x:alignment horizontal="left" vertical="center" wrapText="1"/>
    </x:xf>
    <x:xf numFmtId="0" fontId="1" fillId="24" borderId="26" xfId="0" applyFont="1" applyFill="1" applyBorder="1" applyAlignment="1">
      <x:alignment horizontal="left" vertical="center" wrapText="1"/>
    </x:xf>
    <x:xf numFmtId="0" fontId="1" fillId="24" borderId="8" xfId="0" applyFont="1" applyFill="1" applyBorder="1" applyAlignment="1">
      <x:alignment horizontal="left" vertical="center" wrapText="1"/>
    </x:xf>
    <x:xf numFmtId="0" fontId="1" fillId="25" borderId="26" xfId="0" applyFont="1" applyFill="1" applyBorder="1" applyAlignment="1">
      <x:alignment horizontal="left" vertical="center" wrapText="1"/>
    </x:xf>
    <x:xf numFmtId="0" fontId="1" fillId="25" borderId="8" xfId="0" applyFont="1" applyFill="1" applyBorder="1" applyAlignment="1">
      <x:alignment horizontal="left" vertical="center" wrapText="1"/>
    </x:xf>
    <x:xf numFmtId="0" fontId="1" fillId="23" borderId="8" xfId="0" applyFont="1" applyFill="1" applyBorder="1" applyAlignment="1">
      <x:alignment horizontal="left" vertical="center" wrapText="1"/>
    </x:xf>
    <x:xf numFmtId="0" fontId="1" fillId="26" borderId="26" xfId="0" applyFont="1" applyFill="1" applyBorder="1" applyAlignment="1">
      <x:alignment horizontal="left" vertical="center" wrapText="1"/>
    </x:xf>
    <x:xf numFmtId="0" fontId="1" fillId="26" borderId="8" xfId="0" applyFont="1" applyFill="1" applyBorder="1" applyAlignment="1">
      <x:alignment horizontal="left" vertical="center" wrapText="1"/>
    </x:xf>
    <x:xf numFmtId="16" fontId="1" fillId="27" borderId="16" xfId="0" applyNumberFormat="1" applyFont="1" applyFill="1" applyBorder="1" applyAlignment="1">
      <x:alignment horizontal="center" vertical="center" wrapText="1"/>
    </x:xf>
    <x:xf numFmtId="16" fontId="1" fillId="14" borderId="8" xfId="0" applyNumberFormat="1" applyFont="1" applyFill="1" applyBorder="1" applyAlignment="1">
      <x:alignment horizontal="center" vertical="center" wrapText="1"/>
    </x:xf>
    <x:xf numFmtId="0" fontId="1" fillId="0" borderId="31" xfId="0" applyFont="1" applyBorder="1" applyAlignment="1">
      <x:alignment horizontal="center" vertical="center" wrapText="1"/>
    </x:xf>
    <x:xf numFmtId="0" fontId="1" fillId="2" borderId="31" xfId="0" applyFont="1" applyFill="1" applyBorder="1" applyAlignment="1">
      <x:alignment horizontal="left" vertical="center" wrapText="1"/>
    </x:xf>
    <x:xf numFmtId="0" fontId="1" fillId="0" borderId="17" xfId="0" applyFont="1" applyBorder="1" applyAlignment="1">
      <x:alignment horizontal="left" vertical="center" wrapText="1"/>
    </x:xf>
    <x:xf numFmtId="0" fontId="1" fillId="2" borderId="27" xfId="0" applyFont="1" applyFill="1" applyBorder="1" applyAlignment="1">
      <x:alignment horizontal="center" vertical="center" wrapText="1"/>
    </x:xf>
    <x:xf numFmtId="0" fontId="6" fillId="18" borderId="15" xfId="0" applyFont="1" applyFill="1" applyBorder="1" applyAlignment="1">
      <x:alignment horizontal="left" vertical="center" wrapText="1"/>
    </x:xf>
    <x:xf numFmtId="0" fontId="3" fillId="7" borderId="22" xfId="0" applyFont="1" applyFill="1" applyBorder="1" applyAlignment="1">
      <x:alignment horizontal="center" vertical="center" wrapText="1"/>
    </x:xf>
    <x:xf numFmtId="0" fontId="3" fillId="7" borderId="23" xfId="0" applyFont="1" applyFill="1" applyBorder="1" applyAlignment="1">
      <x:alignment horizontal="center" vertical="center" wrapText="1"/>
    </x:xf>
    <x:xf numFmtId="0" fontId="3" fillId="7" borderId="33" xfId="0" applyFont="1" applyFill="1" applyBorder="1" applyAlignment="1">
      <x:alignment horizontal="center" vertical="center" wrapText="1"/>
    </x:xf>
    <x:xf numFmtId="0" fontId="3" fillId="7" borderId="34" xfId="0" applyFont="1" applyFill="1" applyBorder="1" applyAlignment="1">
      <x:alignment horizontal="center" vertical="center" wrapText="1"/>
    </x:xf>
    <x:xf numFmtId="0" fontId="3" fillId="7" borderId="36" xfId="0" applyFont="1" applyFill="1" applyBorder="1" applyAlignment="1">
      <x:alignment horizontal="center" vertical="center" wrapText="1"/>
    </x:xf>
    <x:xf numFmtId="0" fontId="3" fillId="7" borderId="0" xfId="0" applyFont="1" applyFill="1" applyAlignment="1">
      <x:alignment horizontal="center" vertical="center" wrapText="1"/>
    </x:xf>
    <x:xf numFmtId="0" fontId="3" fillId="6" borderId="17" xfId="0" applyFont="1" applyFill="1" applyBorder="1" applyAlignment="1">
      <x:alignment horizontal="right" vertical="center" wrapText="1"/>
    </x:xf>
    <x:xf numFmtId="0" fontId="3" fillId="6" borderId="8" xfId="0" applyFont="1" applyFill="1" applyBorder="1" applyAlignment="1">
      <x:alignment horizontal="right" vertical="center" wrapText="1"/>
    </x:xf>
    <x:xf numFmtId="0" fontId="1" fillId="6" borderId="17" xfId="0" applyFont="1" applyFill="1" applyBorder="1" applyAlignment="1">
      <x:alignment horizontal="left" vertical="center" wrapText="1"/>
    </x:xf>
    <x:xf numFmtId="0" fontId="1" fillId="6" borderId="8" xfId="0" applyFont="1" applyFill="1" applyBorder="1" applyAlignment="1">
      <x:alignment horizontal="left" vertical="center" wrapText="1"/>
    </x:xf>
    <x:xf numFmtId="16" fontId="1" fillId="0" borderId="17" xfId="0" applyNumberFormat="1" applyFont="1" applyBorder="1" applyAlignment="1">
      <x:alignment horizontal="center" vertical="center"/>
    </x:xf>
    <x:xf numFmtId="16" fontId="1" fillId="0" borderId="8" xfId="0" applyNumberFormat="1" applyFont="1" applyBorder="1" applyAlignment="1">
      <x:alignment horizontal="center" vertical="center"/>
    </x:xf>
    <x:xf numFmtId="9" fontId="4" fillId="6" borderId="19" xfId="0" applyNumberFormat="1" applyFont="1" applyFill="1" applyBorder="1" applyAlignment="1">
      <x:alignment horizontal="center" vertical="center"/>
    </x:xf>
    <x:xf numFmtId="9" fontId="4" fillId="6" borderId="10" xfId="0" applyNumberFormat="1" applyFont="1" applyFill="1" applyBorder="1" applyAlignment="1">
      <x:alignment horizontal="center" vertical="center"/>
    </x:xf>
    <x:xf numFmtId="0" fontId="3" fillId="7" borderId="20" xfId="0" applyFont="1" applyFill="1" applyBorder="1" applyAlignment="1">
      <x:alignment horizontal="center" vertical="center" wrapText="1"/>
    </x:xf>
    <x:xf numFmtId="0" fontId="3" fillId="7" borderId="21" xfId="0" applyFont="1" applyFill="1" applyBorder="1" applyAlignment="1">
      <x:alignment horizontal="center" vertical="center" wrapText="1"/>
    </x:xf>
    <x:xf numFmtId="0" fontId="1" fillId="0" borderId="0" xfId="0" applyFont="1"/>
    <x:xf numFmtId="0" fontId="3" fillId="0" borderId="32" xfId="0" applyFont="1" applyBorder="1" applyAlignment="1">
      <x:alignment horizontal="center" vertical="center" wrapText="1"/>
    </x:xf>
    <x:xf numFmtId="0" fontId="1" fillId="3" borderId="12" xfId="0" applyFont="1" applyFill="1" applyBorder="1" applyAlignment="1">
      <x:alignment horizontal="left" vertical="center"/>
    </x:xf>
    <x:xf numFmtId="0" fontId="1" fillId="3" borderId="13" xfId="0" applyFont="1" applyFill="1" applyBorder="1" applyAlignment="1">
      <x:alignment horizontal="left" vertical="center"/>
    </x:xf>
    <x:xf numFmtId="0" fontId="1" fillId="3" borderId="14" xfId="0" applyFont="1" applyFill="1" applyBorder="1" applyAlignment="1">
      <x:alignment horizontal="left" vertical="center"/>
    </x:xf>
    <x:xf numFmtId="0" fontId="1" fillId="3" borderId="4" xfId="0" applyFont="1" applyFill="1" applyBorder="1" applyAlignment="1">
      <x:alignment horizontal="left" vertical="center"/>
    </x:xf>
    <x:xf numFmtId="0" fontId="1" fillId="3" borderId="5" xfId="0" applyFont="1" applyFill="1" applyBorder="1" applyAlignment="1">
      <x:alignment horizontal="left" vertical="center"/>
    </x:xf>
    <x:xf numFmtId="0" fontId="1" fillId="3" borderId="6" xfId="0" applyFont="1" applyFill="1" applyBorder="1" applyAlignment="1">
      <x:alignment horizontal="left" vertical="center"/>
    </x:xf>
    <x:xf numFmtId="16" fontId="1" fillId="0" borderId="31" xfId="0" applyNumberFormat="1" applyFont="1" applyBorder="1" applyAlignment="1">
      <x:alignment horizontal="center" vertical="center"/>
    </x:xf>
    <x:xf numFmtId="16" fontId="1" fillId="0" borderId="26" xfId="0" applyNumberFormat="1" applyFont="1" applyBorder="1" applyAlignment="1">
      <x:alignment horizontal="center" vertical="center"/>
    </x:xf>
    <x:xf numFmtId="0" fontId="1" fillId="0" borderId="32" xfId="0" applyFont="1" applyBorder="1"/>
    <x:xf numFmtId="0" fontId="1" fillId="3" borderId="1" xfId="0" applyFont="1" applyFill="1" applyBorder="1" applyAlignment="1">
      <x:alignment horizontal="left" vertical="center"/>
    </x:xf>
    <x:xf numFmtId="0" fontId="1" fillId="3" borderId="2" xfId="0" applyFont="1" applyFill="1" applyBorder="1" applyAlignment="1">
      <x:alignment horizontal="left" vertical="center"/>
    </x:xf>
    <x:xf numFmtId="0" fontId="1" fillId="3" borderId="3" xfId="0" applyFont="1" applyFill="1" applyBorder="1" applyAlignment="1">
      <x:alignment horizontal="left" vertical="center"/>
    </x:xf>
    <x:xf numFmtId="0" fontId="3" fillId="5" borderId="9" xfId="0" applyFont="1" applyFill="1" applyBorder="1" applyAlignment="1">
      <x:alignment horizontal="center" vertical="center" wrapText="1"/>
    </x:xf>
    <x:xf numFmtId="0" fontId="3" fillId="5" borderId="10" xfId="0" applyFont="1" applyFill="1" applyBorder="1" applyAlignment="1">
      <x:alignment horizontal="center" vertical="center" wrapText="1"/>
    </x:xf>
    <x:xf numFmtId="0" fontId="3" fillId="6" borderId="7" xfId="0" applyFont="1" applyFill="1" applyBorder="1" applyAlignment="1">
      <x:alignment horizontal="right" vertical="center" wrapText="1"/>
    </x:xf>
    <x:xf numFmtId="0" fontId="1" fillId="6" borderId="7" xfId="0" applyFont="1" applyFill="1" applyBorder="1" applyAlignment="1">
      <x:alignment horizontal="left" vertical="center" wrapText="1"/>
    </x:xf>
    <x:xf numFmtId="0" fontId="2" fillId="0" borderId="37" xfId="0" applyFont="1" applyBorder="1" applyAlignment="1">
      <x:alignment horizontal="center" vertical="center"/>
    </x:xf>
    <x:xf numFmtId="0" fontId="2" fillId="0" borderId="38" xfId="0" applyFont="1" applyBorder="1" applyAlignment="1">
      <x:alignment horizontal="center" vertical="center"/>
    </x:xf>
    <x:xf numFmtId="0" fontId="2" fillId="0" borderId="39" xfId="0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1" fillId="23" borderId="8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3" borderId="8" xfId="0" applyNumberFormat="1" applyFont="1" applyFill="1" applyBorder="1" applyAlignment="1">
      <x:alignment horizontal="left" vertical="top" wrapText="1"/>
    </x:xf>
    <x:xf numFmtId="0" fontId="1" fillId="0" borderId="16" xfId="0" applyNumberFormat="1" applyFont="1" applyFill="1" applyBorder="1" applyAlignment="1">
      <x:alignment horizontal="left" vertical="top" wrapText="1"/>
    </x:xf>
    <x:xf numFmtId="0" fontId="1" fillId="2" borderId="16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c74f301b1421c" /><Relationship Type="http://schemas.openxmlformats.org/officeDocument/2006/relationships/theme" Target="/xl/theme/theme1.xml" Id="R5a0ea4b3d0d14934" /><Relationship Type="http://schemas.openxmlformats.org/officeDocument/2006/relationships/sharedStrings" Target="/xl/sharedStrings.xml" Id="R5de6abacf0014fee" /><Relationship Type="http://schemas.openxmlformats.org/officeDocument/2006/relationships/worksheet" Target="/xl/worksheets/sheet1.xml" Id="R5ac3877a64de4b0e" /><Relationship Type="http://schemas.openxmlformats.org/officeDocument/2006/relationships/worksheet" Target="/xl/worksheets/sheet2.xml" Id="R5c463e824ce84e1a" /><Relationship Type="http://schemas.openxmlformats.org/officeDocument/2006/relationships/worksheet" Target="/xl/worksheets/sheet3.xml" Id="Rd9980606fe4f46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6a8253aaef94e16" /><Relationship Type="http://schemas.openxmlformats.org/officeDocument/2006/relationships/image" Target="/xl/media/image2.jpg" Id="R393c0405ddf24000" /><Relationship Type="http://schemas.openxmlformats.org/officeDocument/2006/relationships/image" Target="/xl/media/image3.jpg" Id="R597e571869074096" /><Relationship Type="http://schemas.openxmlformats.org/officeDocument/2006/relationships/image" Target="/xl/media/image4.jpg" Id="R7b6211e4d61a44f7" /></Relationships>
</file>

<file path=xl/drawings/drawing1.xml><?xml version="1.0" encoding="utf-8"?>
<xdr:wsDr xmlns:xdr="http://schemas.openxmlformats.org/drawingml/2006/spreadsheetDrawing">
  <xdr:oneCellAnchor>
    <xdr:from>
      <xdr:col>2</xdr:col>
      <xdr:colOff>0</xdr:colOff>
      <xdr:row>30</xdr:row>
      <xdr:rowOff>0</xdr:rowOff>
    </xdr:from>
    <xdr:ext cx="9239250" cy="6096000"/>
    <xdr:pic>
      <xdr:nvPicPr>
        <xdr:cNvPr id="1" name="22a3d03e-888f-404b-b35d-ce95a8d442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a8253aaef94e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57</xdr:row>
      <xdr:rowOff>0</xdr:rowOff>
    </xdr:from>
    <xdr:ext cx="9239250" cy="6096000"/>
    <xdr:pic>
      <xdr:nvPicPr>
        <xdr:cNvPr id="2" name="89cd1a03-b778-4fae-b0b3-ab9e03a148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c0405ddf240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84</xdr:row>
      <xdr:rowOff>0</xdr:rowOff>
    </xdr:from>
    <xdr:ext cx="9239250" cy="6096000"/>
    <xdr:pic>
      <xdr:nvPicPr>
        <xdr:cNvPr id="3" name="7b1a533b-76cc-4215-8b3c-dc3177700d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7e57186907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111</xdr:row>
      <xdr:rowOff>0</xdr:rowOff>
    </xdr:from>
    <xdr:ext cx="9239250" cy="6096000"/>
    <xdr:pic>
      <xdr:nvPicPr>
        <xdr:cNvPr id="4" name="041aff95-aa24-485f-a585-2711e54768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211e4d61a44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bd406c843274172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6.7109375" customWidth="1"/>
    <x:col min="3" max="3" width="22.7109375" customWidth="1"/>
    <x:col min="4" max="4" width="30.7109375" customWidth="1"/>
    <x:col min="5" max="5" width="16.42578125" customWidth="1"/>
    <x:col min="7" max="8" width="14.5703125" customWidth="1"/>
    <x:col min="9" max="9" width="12.7109375" customWidth="1"/>
    <x:col min="10" max="10" width="20.140625" customWidth="1"/>
    <x:col min="11" max="11" width="53.75" hidden="0" customWidth="1"/>
    <x:col min="12" max="12" width="6.7109375" customWidth="1"/>
    <x:col min="13" max="26" width="7.7109375" customWidth="1"/>
  </x:cols>
  <x:sheetData>
    <x:row r="1" ht="42" customHeight="1">
      <x:c r="A1" s="1" t="s">
        <x:v>0</x:v>
      </x:c>
      <x:c r="B1" s="132" t="s">
        <x:v>1</x:v>
      </x:c>
      <x:c r="C1" s="132"/>
      <x:c r="D1" s="132"/>
      <x:c r="E1" s="132"/>
      <x:c r="F1" s="132"/>
      <x:c r="G1" s="132"/>
      <x:c r="H1" s="132"/>
      <x:c r="I1" s="132"/>
      <x:c r="J1" s="132"/>
      <x:c r="K1" s="132"/>
    </x:row>
    <x:row r="2" ht="42" customHeight="1">
      <x:c r="A2" s="1"/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3" ht="15.75" customHeight="1">
      <x:c r="A3" s="114"/>
      <x:c r="B3" s="114"/>
      <x:c r="C3" s="2" t="s">
        <x:v>2</x:v>
      </x:c>
      <x:c r="D3" s="125" t="s">
        <x:v>3</x:v>
      </x:c>
      <x:c r="E3" s="126"/>
      <x:c r="F3" s="127"/>
      <x:c r="G3" s="3" t="s">
        <x:v>4</x:v>
      </x:c>
      <x:c r="H3" s="5" t="s">
        <x:v>4</x:v>
      </x:c>
      <x:c r="I3" s="128" t="s">
        <x:v>5</x:v>
      </x:c>
      <x:c r="J3" s="130" t="s">
        <x:v>6</x:v>
      </x:c>
      <x:c r="K3" s="131"/>
    </x:row>
    <x:row r="4" ht="15.75" customHeight="1">
      <x:c r="A4" s="114"/>
      <x:c r="B4" s="114"/>
      <x:c r="C4" s="2" t="s">
        <x:v>7</x:v>
      </x:c>
      <x:c r="D4" s="119"/>
      <x:c r="E4" s="120"/>
      <x:c r="F4" s="121"/>
      <x:c r="G4" s="4" t="s">
        <x:v>8</x:v>
      </x:c>
      <x:c r="H4" s="6" t="s">
        <x:v>9</x:v>
      </x:c>
      <x:c r="I4" s="129"/>
      <x:c r="J4" s="105"/>
      <x:c r="K4" s="107"/>
    </x:row>
    <x:row r="5" ht="15.75" customHeight="1">
      <x:c r="A5" s="114"/>
      <x:c r="B5" s="114"/>
      <x:c r="C5" s="115" t="s">
        <x:v>10</x:v>
      </x:c>
      <x:c r="D5" s="116" t="s">
        <x:v>11</x:v>
      </x:c>
      <x:c r="E5" s="117"/>
      <x:c r="F5" s="118"/>
      <x:c r="G5" s="122">
        <x:v>46252</x:v>
      </x:c>
      <x:c r="H5" s="108">
        <x:v>46357</x:v>
      </x:c>
      <x:c r="I5" s="110">
        <x:v>0</x:v>
      </x:c>
      <x:c r="J5" s="104" t="s">
        <x:v>12</x:v>
      </x:c>
      <x:c r="K5" s="106"/>
    </x:row>
    <x:row r="6" ht="21" customHeight="1">
      <x:c r="A6" s="114"/>
      <x:c r="B6" s="114"/>
      <x:c r="C6" s="115"/>
      <x:c r="D6" s="119"/>
      <x:c r="E6" s="120"/>
      <x:c r="F6" s="121"/>
      <x:c r="G6" s="123"/>
      <x:c r="H6" s="109"/>
      <x:c r="I6" s="111"/>
      <x:c r="J6" s="105"/>
      <x:c r="K6" s="107"/>
    </x:row>
    <x:row r="7" ht="15.75" customHeight="1">
      <x:c r="A7" s="114"/>
      <x:c r="B7" s="114"/>
      <x:c r="C7" s="1"/>
      <x:c r="D7" s="1"/>
      <x:c r="E7" s="1"/>
      <x:c r="F7" s="1"/>
      <x:c r="G7" s="1"/>
      <x:c r="H7" s="1"/>
      <x:c r="I7" s="1"/>
      <x:c r="J7" s="1"/>
      <x:c r="K7" s="1"/>
    </x:row>
    <x:row r="8" ht="15.75" customHeight="1">
      <x:c r="A8" s="124"/>
      <x:c r="B8" s="112" t="s">
        <x:v>13</x:v>
      </x:c>
      <x:c r="C8" s="112" t="s">
        <x:v>14</x:v>
      </x:c>
      <x:c r="D8" s="112" t="s">
        <x:v>15</x:v>
      </x:c>
      <x:c r="E8" s="112" t="s">
        <x:v>16</x:v>
      </x:c>
      <x:c r="F8" s="98" t="s">
        <x:v>17</x:v>
      </x:c>
      <x:c r="G8" s="100" t="s">
        <x:v>8</x:v>
      </x:c>
      <x:c r="H8" s="98" t="s">
        <x:v>9</x:v>
      </x:c>
      <x:c r="I8" s="7" t="s">
        <x:v>18</x:v>
      </x:c>
      <x:c r="J8" s="100" t="s">
        <x:v>19</x:v>
      </x:c>
      <x:c r="K8" s="98" t="s">
        <x:v>20</x:v>
      </x:c>
      <x:c r="M8" s="102" t="s">
        <x:v>21</x:v>
      </x:c>
      <x:c r="N8" s="103"/>
      <x:c r="O8" s="103"/>
      <x:c r="P8" s="103"/>
      <x:c r="Q8" s="103"/>
      <x:c r="R8" s="103"/>
      <x:c r="S8" s="103"/>
      <x:c r="T8" s="103"/>
      <x:c r="U8" s="103"/>
      <x:c r="V8" s="103"/>
      <x:c r="W8" s="103"/>
      <x:c r="X8" s="103"/>
      <x:c r="Y8" s="103"/>
      <x:c r="Z8" s="103"/>
    </x:row>
    <x:row r="9" ht="22.5" customHeight="1">
      <x:c r="A9" s="124"/>
      <x:c r="B9" s="113"/>
      <x:c r="C9" s="113"/>
      <x:c r="D9" s="113"/>
      <x:c r="E9" s="113"/>
      <x:c r="F9" s="99"/>
      <x:c r="G9" s="101"/>
      <x:c r="H9" s="99"/>
      <x:c r="I9" s="8" t="s">
        <x:v>22</x:v>
      </x:c>
      <x:c r="J9" s="101"/>
      <x:c r="K9" s="99"/>
      <x:c r="M9" s="60">
        <x:v>46252</x:v>
      </x:c>
      <x:c r="N9" s="61" t="n">
        <x:f>+M9+7</x:f>
        <x:v>46259</x:v>
      </x:c>
      <x:c r="O9" s="61" t="n">
        <x:f t="shared" ref="O9:Z9" si="0">+N9+7</x:f>
        <x:v>46266</x:v>
      </x:c>
      <x:c r="P9" s="61">
        <x:f t="shared" si="0"/>
        <x:v>46273</x:v>
      </x:c>
      <x:c r="Q9" s="61">
        <x:f t="shared" si="0"/>
        <x:v>46280</x:v>
      </x:c>
      <x:c r="R9" s="61">
        <x:f t="shared" si="0"/>
        <x:v>46287</x:v>
      </x:c>
      <x:c r="S9" s="61">
        <x:f t="shared" si="0"/>
        <x:v>46294</x:v>
      </x:c>
      <x:c r="T9" s="61">
        <x:f t="shared" si="0"/>
        <x:v>46301</x:v>
      </x:c>
      <x:c r="U9" s="61">
        <x:f t="shared" si="0"/>
        <x:v>46308</x:v>
      </x:c>
      <x:c r="V9" s="61">
        <x:f t="shared" si="0"/>
        <x:v>46315</x:v>
      </x:c>
      <x:c r="W9" s="61">
        <x:f t="shared" si="0"/>
        <x:v>46322</x:v>
      </x:c>
      <x:c r="X9" s="61">
        <x:f t="shared" si="0"/>
        <x:v>46329</x:v>
      </x:c>
      <x:c r="Y9" s="61">
        <x:f t="shared" si="0"/>
        <x:v>46336</x:v>
      </x:c>
      <x:c r="Z9" s="61">
        <x:f t="shared" si="0"/>
        <x:v>46343</x:v>
      </x:c>
    </x:row>
    <x:row r="10" ht="68.25">
      <x:c r="A10" s="1"/>
      <x:c r="B10" s="9" t="s">
        <x:v>23</x:v>
      </x:c>
      <x:c r="C10" s="10" t="s">
        <x:v>24</x:v>
      </x:c>
      <x:c r="D10" s="64" t="s">
        <x:v>25</x:v>
      </x:c>
      <x:c r="E10" s="10" t="s">
        <x:v>26</x:v>
      </x:c>
      <x:c r="F10" s="11"/>
      <x:c r="G10" s="12">
        <x:v>46252</x:v>
      </x:c>
      <x:c r="H10" s="91">
        <x:v>46266</x:v>
      </x:c>
      <x:c r="I10" s="13">
        <x:v>7</x:v>
      </x:c>
      <x:c r="J10" s="53" t="s">
        <x:v>27</x:v>
      </x:c>
      <x:c r="K10" s="11"/>
      <x:c r="M10" s="73"/>
      <x:c r="N10" s="73"/>
      <x:c r="O10" s="73"/>
      <x:c r="P10" s="73"/>
    </x:row>
    <x:row r="11" ht="67.5">
      <x:c r="A11" s="1"/>
      <x:c r="B11" s="15" t="s">
        <x:v>23</x:v>
      </x:c>
      <x:c r="C11" s="63" t="s">
        <x:v>28</x:v>
      </x:c>
      <x:c r="D11" s="63" t="s">
        <x:v>29</x:v>
      </x:c>
      <x:c r="E11" s="63" t="s">
        <x:v>30</x:v>
      </x:c>
      <x:c r="F11" s="69"/>
      <x:c r="G11" s="70">
        <x:v>46259</x:v>
      </x:c>
      <x:c r="H11" s="71">
        <x:v>46259</x:v>
      </x:c>
      <x:c r="I11" s="20">
        <x:v>1</x:v>
      </x:c>
      <x:c r="J11" s="53" t="s">
        <x:v>27</x:v>
      </x:c>
      <x:c r="K11" s="69"/>
      <x:c r="N11" s="73"/>
    </x:row>
    <x:row r="12" ht="54">
      <x:c r="A12" s="1"/>
      <x:c r="B12" s="15" t="s">
        <x:v>23</x:v>
      </x:c>
      <x:c r="C12" s="63" t="s">
        <x:v>31</x:v>
      </x:c>
      <x:c r="D12" s="65" t="s">
        <x:v>32</x:v>
      </x:c>
      <x:c r="E12" s="16" t="s">
        <x:v>30</x:v>
      </x:c>
      <x:c r="F12" s="17"/>
      <x:c r="G12" s="18">
        <x:v>46266</x:v>
      </x:c>
      <x:c r="H12" s="19">
        <x:v>46266</x:v>
      </x:c>
      <x:c r="I12" s="20">
        <x:v>1</x:v>
      </x:c>
      <x:c r="J12" s="53" t="s">
        <x:v>27</x:v>
      </x:c>
      <x:c r="K12" s="17"/>
      <x:c r="O12" s="73"/>
    </x:row>
    <x:row r="13" ht="54.75">
      <x:c r="A13" s="1"/>
      <x:c r="B13" s="21" t="s">
        <x:v>23</x:v>
      </x:c>
      <x:c r="C13" s="63" t="s">
        <x:v>33</x:v>
      </x:c>
      <x:c r="D13" s="72" t="s">
        <x:v>34</x:v>
      </x:c>
      <x:c r="E13" s="22" t="s">
        <x:v>35</x:v>
      </x:c>
      <x:c r="F13" s="23"/>
      <x:c r="G13" s="24">
        <x:v>46266</x:v>
      </x:c>
      <x:c r="H13" s="19">
        <x:v>46266</x:v>
      </x:c>
      <x:c r="I13" s="25">
        <x:v>1</x:v>
      </x:c>
      <x:c r="J13" s="53" t="s">
        <x:v>27</x:v>
      </x:c>
      <x:c r="K13" s="23"/>
      <x:c r="O13" s="73"/>
    </x:row>
    <x:row r="14" ht="95.25">
      <x:c r="A14" s="1"/>
      <x:c r="B14" s="9" t="s">
        <x:v>23</x:v>
      </x:c>
      <x:c r="C14" s="26" t="s">
        <x:v>36</x:v>
      </x:c>
      <x:c r="D14" s="26" t="s">
        <x:v>37</x:v>
      </x:c>
      <x:c r="E14" s="26" t="s">
        <x:v>26</x:v>
      </x:c>
      <x:c r="F14" s="27"/>
      <x:c r="G14" s="92">
        <x:v>46273</x:v>
      </x:c>
      <x:c r="H14" s="28"/>
      <x:c r="I14" s="29" t="n">
        <x:f>+I15+I16+I18</x:f>
        <x:v>0</x:v>
      </x:c>
      <x:c r="J14" s="50" t="s">
        <x:v>38</x:v>
      </x:c>
      <x:c r="K14" s="27"/>
      <x:c r="P14" s="73"/>
    </x:row>
    <x:row r="15" ht="60" hidden="0" customHeight="1">
      <x:c r="A15" s="1"/>
      <x:c r="B15" s="15" t="s">
        <x:v>23</x:v>
      </x:c>
      <x:c r="C15" s="30" t="s">
        <x:v>39</x:v>
      </x:c>
      <x:c r="D15" s="78" t="s">
        <x:v>40</x:v>
      </x:c>
      <x:c r="E15" s="63" t="s">
        <x:v>30</x:v>
      </x:c>
      <x:c r="F15" s="31" t="str">
        <x:v>HU-04</x:v>
      </x:c>
      <x:c r="G15" s="24">
        <x:v>46273</x:v>
      </x:c>
      <x:c r="H15" s="24"/>
      <x:c r="I15" s="20"/>
      <x:c r="J15" s="50" t="s">
        <x:v>38</x:v>
      </x:c>
      <x:c r="K15" s="31" t="str">
        <x:v>Tablas maestras implementadas y probadas. Especialidades: alta, modificación y desactivación; SNOMED: alta/listado/búsqueda; fármacos: alta/listado. Evidencias en Bitácora.</x:v>
      </x:c>
      <x:c r="P15" s="73"/>
    </x:row>
    <x:row r="16" ht="48" hidden="0" customHeight="1">
      <x:c r="A16" s="1"/>
      <x:c r="B16" s="21" t="s">
        <x:v>23</x:v>
      </x:c>
      <x:c r="C16" s="66" t="s">
        <x:v>41</x:v>
      </x:c>
      <x:c r="D16" s="76" t="s">
        <x:v>42</x:v>
      </x:c>
      <x:c r="E16" s="16" t="s">
        <x:v>30</x:v>
      </x:c>
      <x:c r="F16" s="67" t="str">
        <x:v>HU-05</x:v>
      </x:c>
      <x:c r="G16" s="24">
        <x:v>46273</x:v>
      </x:c>
      <x:c r="H16" s="24"/>
      <x:c r="I16" s="25"/>
      <x:c r="J16" s="50" t="s">
        <x:v>38</x:v>
      </x:c>
      <x:c r="K16" s="67" t="str">
        <x:v>Profesionales: alta, búsqueda, modificación y baja protegida. DNI y matrícula únicos. Vigencia real de matrícula pendiente de validación institucional.</x:v>
      </x:c>
      <x:c r="P16" s="73"/>
    </x:row>
    <x:row r="17" ht="36" hidden="0" customHeight="1">
      <x:c r="A17" s="1"/>
      <x:c r="B17" s="21" t="s">
        <x:v>23</x:v>
      </x:c>
      <x:c r="C17" s="34" t="s">
        <x:v>43</x:v>
      </x:c>
      <x:c r="D17" s="93" t="s">
        <x:v>44</x:v>
      </x:c>
      <x:c r="E17" s="94" t="s">
        <x:v>35</x:v>
      </x:c>
      <x:c r="F17" s="95" t="str">
        <x:v>HU-06</x:v>
      </x:c>
      <x:c r="G17" s="24">
        <x:v>46273</x:v>
      </x:c>
      <x:c r="H17" s="24"/>
      <x:c r="I17" s="25"/>
      <x:c r="J17" s="50" t="s">
        <x:v>38</x:v>
      </x:c>
      <x:c r="K17" s="95" t="str">
        <x:v>Prescripciones implementadas por requisito de Entrega 4; HU-06 adelantada parcialmente. Reporte/XML pendientes para el alcance posterior.</x:v>
      </x:c>
      <x:c r="P17" s="73"/>
    </x:row>
    <x:row r="18" ht="82.5">
      <x:c r="A18" s="1"/>
      <x:c r="B18" s="21" t="s">
        <x:v>23</x:v>
      </x:c>
      <x:c r="C18" s="34" t="s">
        <x:v>45</x:v>
      </x:c>
      <x:c r="D18" s="96" t="s">
        <x:v>46</x:v>
      </x:c>
      <x:c r="E18" s="22" t="s">
        <x:v>35</x:v>
      </x:c>
      <x:c r="F18" s="35"/>
      <x:c r="G18" s="24"/>
      <x:c r="H18" s="24"/>
      <x:c r="I18" s="25"/>
      <x:c r="J18" s="47" t="s">
        <x:v>47</x:v>
      </x:c>
      <x:c r="K18" s="35"/>
      <x:c r="P18" s="73"/>
    </x:row>
    <x:row r="19" ht="42">
      <x:c r="A19" s="1"/>
      <x:c r="B19" s="9" t="s">
        <x:v>23</x:v>
      </x:c>
      <x:c r="C19" s="34" t="s">
        <x:v>48</x:v>
      </x:c>
      <x:c r="D19" s="34" t="s">
        <x:v>49</x:v>
      </x:c>
      <x:c r="E19" s="22" t="s">
        <x:v>35</x:v>
      </x:c>
      <x:c r="F19" s="35"/>
      <x:c r="G19" s="24"/>
      <x:c r="H19" s="24"/>
      <x:c r="I19" s="25"/>
      <x:c r="J19" s="47" t="s">
        <x:v>47</x:v>
      </x:c>
      <x:c r="K19" s="35"/>
    </x:row>
    <x:row r="20" ht="68.25">
      <x:c r="A20" s="1"/>
      <x:c r="B20" s="9" t="s">
        <x:v>23</x:v>
      </x:c>
      <x:c r="C20" s="36" t="s">
        <x:v>50</x:v>
      </x:c>
      <x:c r="D20" s="36" t="s">
        <x:v>51</x:v>
      </x:c>
      <x:c r="E20" s="36" t="s">
        <x:v>26</x:v>
      </x:c>
      <x:c r="F20" s="37"/>
      <x:c r="G20" s="38"/>
      <x:c r="H20" s="39"/>
      <x:c r="I20" s="40" t="e">
        <x:f>+I21+#REF!+#REF!</x:f>
        <x:v>#REF!</x:v>
      </x:c>
      <x:c r="J20" s="41"/>
      <x:c r="K20" s="37"/>
    </x:row>
    <x:row r="21" ht="54">
      <x:c r="A21" s="1"/>
      <x:c r="B21" s="15" t="s">
        <x:v>23</x:v>
      </x:c>
      <x:c r="C21" s="30" t="s">
        <x:v>52</x:v>
      </x:c>
      <x:c r="D21" s="30" t="s">
        <x:v>53</x:v>
      </x:c>
      <x:c r="E21" s="30" t="s">
        <x:v>54</x:v>
      </x:c>
      <x:c r="F21" s="31"/>
      <x:c r="G21" s="32"/>
      <x:c r="H21" s="33"/>
      <x:c r="I21" s="20"/>
      <x:c r="J21" s="47" t="s">
        <x:v>47</x:v>
      </x:c>
      <x:c r="K21" s="31"/>
    </x:row>
    <x:row r="22" ht="67.5">
      <x:c r="A22" s="1"/>
      <x:c r="B22" s="15" t="s">
        <x:v>23</x:v>
      </x:c>
      <x:c r="C22" s="30" t="s">
        <x:v>55</x:v>
      </x:c>
      <x:c r="D22" s="63" t="s">
        <x:v>56</x:v>
      </x:c>
      <x:c r="E22" s="30" t="s">
        <x:v>57</x:v>
      </x:c>
      <x:c r="F22" s="31"/>
      <x:c r="G22" s="32"/>
      <x:c r="H22" s="33"/>
      <x:c r="I22" s="20"/>
      <x:c r="J22" s="97" t="s">
        <x:v>47</x:v>
      </x:c>
      <x:c r="K22" s="31"/>
    </x:row>
    <x:row r="23" ht="54">
      <x:c r="A23" s="1"/>
      <x:c r="B23" s="15" t="s">
        <x:v>23</x:v>
      </x:c>
      <x:c r="C23" s="30" t="s">
        <x:v>58</x:v>
      </x:c>
      <x:c r="D23" s="30" t="s">
        <x:v>59</x:v>
      </x:c>
      <x:c r="E23" s="30" t="s">
        <x:v>57</x:v>
      </x:c>
      <x:c r="F23" s="31"/>
      <x:c r="G23" s="32"/>
      <x:c r="H23" s="43"/>
      <x:c r="I23" s="20"/>
      <x:c r="J23" s="42" t="s">
        <x:v>47</x:v>
      </x:c>
      <x:c r="K23" s="31"/>
    </x:row>
    <x:row r="24" ht="42" customHeight="1">
      <x:c r="A24" s="1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</x:row>
    <x:row r="25" ht="20.25" customHeight="1">
      <x:c r="A25" s="114"/>
      <x:c r="B25" s="114"/>
      <x:c r="C25" s="2" t="s">
        <x:v>2</x:v>
      </x:c>
      <x:c r="D25" s="125" t="s">
        <x:v>3</x:v>
      </x:c>
      <x:c r="E25" s="126"/>
      <x:c r="F25" s="127"/>
      <x:c r="G25" s="3" t="s">
        <x:v>4</x:v>
      </x:c>
      <x:c r="H25" s="5" t="s">
        <x:v>4</x:v>
      </x:c>
      <x:c r="I25" s="128" t="s">
        <x:v>5</x:v>
      </x:c>
      <x:c r="J25" s="130" t="s">
        <x:v>6</x:v>
      </x:c>
      <x:c r="K25" s="131"/>
    </x:row>
    <x:row r="26" ht="20.25" customHeight="1">
      <x:c r="A26" s="114"/>
      <x:c r="B26" s="114"/>
      <x:c r="C26" s="2" t="s">
        <x:v>7</x:v>
      </x:c>
      <x:c r="D26" s="119"/>
      <x:c r="E26" s="120"/>
      <x:c r="F26" s="121"/>
      <x:c r="G26" s="4" t="s">
        <x:v>8</x:v>
      </x:c>
      <x:c r="H26" s="6" t="s">
        <x:v>9</x:v>
      </x:c>
      <x:c r="I26" s="129"/>
      <x:c r="J26" s="105"/>
      <x:c r="K26" s="107"/>
    </x:row>
    <x:row r="27" ht="20.25" customHeight="1">
      <x:c r="A27" s="114"/>
      <x:c r="B27" s="114"/>
      <x:c r="C27" s="115" t="s">
        <x:v>60</x:v>
      </x:c>
      <x:c r="D27" s="116" t="str">
        <x:v>Alejandro</x:v>
      </x:c>
      <x:c r="E27" s="117"/>
      <x:c r="F27" s="118"/>
      <x:c r="G27" s="122">
        <x:v>46191</x:v>
      </x:c>
      <x:c r="H27" s="108">
        <x:v>46357</x:v>
      </x:c>
      <x:c r="I27" s="110">
        <x:v>0</x:v>
      </x:c>
      <x:c r="J27" s="104" t="s">
        <x:v>12</x:v>
      </x:c>
      <x:c r="K27" s="106"/>
    </x:row>
    <x:row r="28" ht="20.25" customHeight="1">
      <x:c r="A28" s="114"/>
      <x:c r="B28" s="114"/>
      <x:c r="C28" s="115"/>
      <x:c r="D28" s="119"/>
      <x:c r="E28" s="120"/>
      <x:c r="F28" s="121"/>
      <x:c r="G28" s="123"/>
      <x:c r="H28" s="109"/>
      <x:c r="I28" s="111"/>
      <x:c r="J28" s="105"/>
      <x:c r="K28" s="107"/>
    </x:row>
    <x:row r="29" ht="15.75">
      <x:c r="A29" s="114"/>
      <x:c r="B29" s="114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2.5" customHeight="1">
      <x:c r="A30" s="124"/>
      <x:c r="B30" s="112" t="s">
        <x:v>13</x:v>
      </x:c>
      <x:c r="C30" s="112" t="s">
        <x:v>14</x:v>
      </x:c>
      <x:c r="D30" s="112" t="s">
        <x:v>15</x:v>
      </x:c>
      <x:c r="E30" s="112" t="s">
        <x:v>16</x:v>
      </x:c>
      <x:c r="F30" s="98" t="s">
        <x:v>17</x:v>
      </x:c>
      <x:c r="G30" s="100" t="s">
        <x:v>8</x:v>
      </x:c>
      <x:c r="H30" s="98" t="s">
        <x:v>9</x:v>
      </x:c>
      <x:c r="I30" s="7" t="s">
        <x:v>18</x:v>
      </x:c>
      <x:c r="J30" s="100" t="s">
        <x:v>19</x:v>
      </x:c>
      <x:c r="K30" s="98" t="s">
        <x:v>20</x:v>
      </x:c>
      <x:c r="M30" s="102" t="s">
        <x:v>21</x:v>
      </x:c>
      <x:c r="N30" s="103"/>
      <x:c r="O30" s="103"/>
      <x:c r="P30" s="103"/>
      <x:c r="Q30" s="103"/>
      <x:c r="R30" s="103"/>
      <x:c r="S30" s="103"/>
      <x:c r="T30" s="103"/>
      <x:c r="U30" s="103"/>
      <x:c r="V30" s="103"/>
      <x:c r="W30" s="103"/>
      <x:c r="X30" s="103"/>
      <x:c r="Y30" s="103"/>
      <x:c r="Z30" s="103"/>
    </x:row>
    <x:row r="31" ht="15.75">
      <x:c r="A31" s="124"/>
      <x:c r="B31" s="113"/>
      <x:c r="C31" s="113"/>
      <x:c r="D31" s="113"/>
      <x:c r="E31" s="113"/>
      <x:c r="F31" s="99"/>
      <x:c r="G31" s="101"/>
      <x:c r="H31" s="99"/>
      <x:c r="I31" s="8" t="s">
        <x:v>22</x:v>
      </x:c>
      <x:c r="J31" s="101"/>
      <x:c r="K31" s="99"/>
      <x:c r="M31" s="60">
        <x:v>46252</x:v>
      </x:c>
      <x:c r="N31" s="61" t="n">
        <x:f>+M31+7</x:f>
        <x:v>46259</x:v>
      </x:c>
      <x:c r="O31" s="61" t="n">
        <x:f t="shared" ref="O31:Z31" si="1">+N31+7</x:f>
        <x:v>46266</x:v>
      </x:c>
      <x:c r="P31" s="61">
        <x:f t="shared" si="1"/>
        <x:v>46273</x:v>
      </x:c>
      <x:c r="Q31" s="61">
        <x:f t="shared" si="1"/>
        <x:v>46280</x:v>
      </x:c>
      <x:c r="R31" s="61">
        <x:f t="shared" si="1"/>
        <x:v>46287</x:v>
      </x:c>
      <x:c r="S31" s="61">
        <x:f t="shared" si="1"/>
        <x:v>46294</x:v>
      </x:c>
      <x:c r="T31" s="61">
        <x:f t="shared" si="1"/>
        <x:v>46301</x:v>
      </x:c>
      <x:c r="U31" s="61">
        <x:f t="shared" si="1"/>
        <x:v>46308</x:v>
      </x:c>
      <x:c r="V31" s="61">
        <x:f t="shared" si="1"/>
        <x:v>46315</x:v>
      </x:c>
      <x:c r="W31" s="61">
        <x:f t="shared" si="1"/>
        <x:v>46322</x:v>
      </x:c>
      <x:c r="X31" s="61">
        <x:f t="shared" si="1"/>
        <x:v>46329</x:v>
      </x:c>
      <x:c r="Y31" s="61">
        <x:f t="shared" si="1"/>
        <x:v>46336</x:v>
      </x:c>
      <x:c r="Z31" s="61">
        <x:f t="shared" si="1"/>
        <x:v>46343</x:v>
      </x:c>
    </x:row>
    <x:row r="32" ht="15.75">
      <x:c r="A32" s="1"/>
      <x:c r="B32" s="9" t="s">
        <x:v>23</x:v>
      </x:c>
      <x:c r="C32" s="80" t="s">
        <x:v>24</x:v>
      </x:c>
      <x:c r="D32" s="74"/>
      <x:c r="E32" s="74" t="s">
        <x:v>61</x:v>
      </x:c>
      <x:c r="F32" s="75"/>
      <x:c r="G32" s="12">
        <x:v>46259</x:v>
      </x:c>
      <x:c r="H32" s="91">
        <x:v>46266</x:v>
      </x:c>
      <x:c r="I32" s="13">
        <x:v>7</x:v>
      </x:c>
      <x:c r="J32" s="53" t="s">
        <x:v>27</x:v>
      </x:c>
      <x:c r="K32" s="11"/>
      <x:c r="M32" s="73"/>
      <x:c r="N32" s="73"/>
    </x:row>
    <x:row r="33" ht="67.5">
      <x:c r="A33" s="1"/>
      <x:c r="B33" s="15" t="s">
        <x:v>23</x:v>
      </x:c>
      <x:c r="C33" s="81" t="s">
        <x:v>62</x:v>
      </x:c>
      <x:c r="D33" s="76" t="s">
        <x:v>63</x:v>
      </x:c>
      <x:c r="E33" s="76" t="s">
        <x:v>64</x:v>
      </x:c>
      <x:c r="F33" s="77" t="s">
        <x:v>65</x:v>
      </x:c>
      <x:c r="G33" s="70">
        <x:v>46259</x:v>
      </x:c>
      <x:c r="H33" s="71">
        <x:v>46259</x:v>
      </x:c>
      <x:c r="I33" s="20">
        <x:v>1</x:v>
      </x:c>
      <x:c r="J33" s="53" t="s">
        <x:v>27</x:v>
      </x:c>
      <x:c r="K33" s="69"/>
      <x:c r="N33" s="73"/>
    </x:row>
    <x:row r="34" ht="67.5">
      <x:c r="A34" s="1"/>
      <x:c r="B34" s="15" t="s">
        <x:v>23</x:v>
      </x:c>
      <x:c r="C34" s="82" t="s">
        <x:v>66</x:v>
      </x:c>
      <x:c r="D34" s="78" t="s">
        <x:v>67</x:v>
      </x:c>
      <x:c r="E34" s="78" t="s">
        <x:v>68</x:v>
      </x:c>
      <x:c r="F34" s="79" t="s">
        <x:v>69</x:v>
      </x:c>
      <x:c r="G34" s="18">
        <x:v>46266</x:v>
      </x:c>
      <x:c r="H34" s="19">
        <x:v>46266</x:v>
      </x:c>
      <x:c r="I34" s="20">
        <x:v>1</x:v>
      </x:c>
      <x:c r="J34" s="53" t="s">
        <x:v>27</x:v>
      </x:c>
      <x:c r="K34" s="17"/>
      <x:c r="O34" s="73"/>
    </x:row>
    <x:row r="35">
      <x:c r="A35" s="1"/>
      <x:c r="B35" s="9" t="s">
        <x:v>23</x:v>
      </x:c>
      <x:c r="C35" s="26" t="s">
        <x:v>36</x:v>
      </x:c>
      <x:c r="D35" s="26"/>
      <x:c r="E35" s="26" t="str">
        <x:v>Alejandro</x:v>
      </x:c>
      <x:c r="F35" s="27"/>
      <x:c r="G35" s="92">
        <x:v>46273</x:v>
      </x:c>
      <x:c r="H35" s="28"/>
      <x:c r="I35" s="29" t="n">
        <x:f>+I36+I38</x:f>
        <x:v>0</x:v>
      </x:c>
      <x:c r="J35" s="50" t="s">
        <x:v>38</x:v>
      </x:c>
      <x:c r="K35" s="27"/>
      <x:c r="P35" s="73"/>
    </x:row>
    <x:row r="36" ht="84" hidden="0" customHeight="1">
      <x:c r="A36" s="1"/>
      <x:c r="B36" s="15" t="s">
        <x:v>23</x:v>
      </x:c>
      <x:c r="C36" s="30" t="s">
        <x:v>70</x:v>
      </x:c>
      <x:c r="D36" s="78" t="str">
        <x:v>CRUD de especialidades y profesionales; alta de SNOMED local y fármacos; especialidad asociada y profesional requerido en signos vitales. Prescripciones incorporadas por entregable explícito de Entrega 4.</x:v>
      </x:c>
      <x:c r="E36" s="30" t="str">
        <x:v>Alejandro</x:v>
      </x:c>
      <x:c r="F36" s="69" t="s">
        <x:v>71</x:v>
      </x:c>
      <x:c r="G36" s="18">
        <x:v>46273</x:v>
      </x:c>
      <x:c r="H36" s="33"/>
      <x:c r="I36" s="14"/>
      <x:c r="J36" s="50" t="s">
        <x:v>38</x:v>
      </x:c>
      <x:c r="K36" s="31" t="str">
        <x:v>Alejandro. Implementación y pruebas completadas para Entrega 4. HU-04/HU-05 y prescripciones exigidas. No incluye FHIR/XML ni control de acceso. Ver Bitácora y docs/entrega-4.md.</x:v>
      </x:c>
      <x:c r="P36" s="73"/>
    </x:row>
    <x:row r="37" ht="94.5">
      <x:c r="A37" s="1"/>
      <x:c r="B37" s="15" t="s">
        <x:v>23</x:v>
      </x:c>
      <x:c r="C37" s="66" t="s">
        <x:v>72</x:v>
      </x:c>
      <x:c r="D37" s="76" t="s">
        <x:v>73</x:v>
      </x:c>
      <x:c r="E37" s="66" t="s">
        <x:v>74</x:v>
      </x:c>
      <x:c r="F37" s="17" t="s">
        <x:v>75</x:v>
      </x:c>
      <x:c r="G37" s="18"/>
      <x:c r="H37" s="68"/>
      <x:c r="I37" s="14"/>
      <x:c r="J37" s="47" t="s">
        <x:v>47</x:v>
      </x:c>
      <x:c r="K37" s="31"/>
      <x:c r="P37" s="73"/>
    </x:row>
    <x:row r="38" ht="54">
      <x:c r="A38" s="1"/>
      <x:c r="B38" s="15" t="s">
        <x:v>23</x:v>
      </x:c>
      <x:c r="C38" s="66" t="s">
        <x:v>76</x:v>
      </x:c>
      <x:c r="D38" s="66" t="s">
        <x:v>77</x:v>
      </x:c>
      <x:c r="E38" s="66" t="s">
        <x:v>74</x:v>
      </x:c>
      <x:c r="F38" s="17" t="s">
        <x:v>78</x:v>
      </x:c>
      <x:c r="G38" s="18"/>
      <x:c r="H38" s="68"/>
      <x:c r="I38" s="14"/>
      <x:c r="J38" s="47" t="s">
        <x:v>47</x:v>
      </x:c>
      <x:c r="K38" s="67"/>
    </x:row>
    <x:row r="39">
      <x:c r="A39" s="1"/>
      <x:c r="B39" s="9" t="s">
        <x:v>23</x:v>
      </x:c>
      <x:c r="C39" s="36" t="s">
        <x:v>50</x:v>
      </x:c>
      <x:c r="D39" s="36"/>
      <x:c r="E39" s="36" t="s">
        <x:v>61</x:v>
      </x:c>
      <x:c r="F39" s="37"/>
      <x:c r="G39" s="38"/>
      <x:c r="H39" s="39"/>
      <x:c r="I39" s="40" t="n">
        <x:f>+I40+I41</x:f>
        <x:v>0</x:v>
      </x:c>
      <x:c r="J39" s="41"/>
      <x:c r="K39" s="37"/>
    </x:row>
    <x:row r="40" ht="27">
      <x:c r="A40" s="1"/>
      <x:c r="B40" s="15" t="s">
        <x:v>23</x:v>
      </x:c>
      <x:c r="C40" s="30" t="s">
        <x:v>79</x:v>
      </x:c>
      <x:c r="D40" s="30" t="s">
        <x:v>80</x:v>
      </x:c>
      <x:c r="E40" s="30" t="s">
        <x:v>68</x:v>
      </x:c>
      <x:c r="F40" s="17" t="s">
        <x:v>81</x:v>
      </x:c>
      <x:c r="G40" s="32"/>
      <x:c r="H40" s="33"/>
      <x:c r="I40" s="20"/>
      <x:c r="J40" s="42" t="s">
        <x:v>47</x:v>
      </x:c>
      <x:c r="K40" s="31"/>
    </x:row>
    <x:row r="41" ht="81">
      <x:c r="A41" s="1"/>
      <x:c r="B41" s="15" t="s">
        <x:v>23</x:v>
      </x:c>
      <x:c r="C41" s="30" t="s">
        <x:v>82</x:v>
      </x:c>
      <x:c r="D41" s="30" t="s">
        <x:v>83</x:v>
      </x:c>
      <x:c r="E41" s="30" t="s">
        <x:v>64</x:v>
      </x:c>
      <x:c r="F41" s="69" t="s">
        <x:v>84</x:v>
      </x:c>
      <x:c r="G41" s="32"/>
      <x:c r="H41" s="43"/>
      <x:c r="I41" s="20"/>
      <x:c r="J41" s="42" t="s">
        <x:v>47</x:v>
      </x:c>
      <x:c r="K41" s="31"/>
    </x:row>
  </x:sheetData>
  <x:mergeCells>
    <x:mergeCell ref="A27:B28"/>
    <x:mergeCell ref="D27:F28"/>
    <x:mergeCell ref="G27:G28"/>
    <x:mergeCell ref="H27:H28"/>
    <x:mergeCell ref="I27:I28"/>
    <x:mergeCell ref="B1:K1"/>
    <x:mergeCell ref="J27:J28"/>
    <x:mergeCell ref="K27:K28"/>
    <x:mergeCell ref="A29:B29"/>
    <x:mergeCell ref="A30:A31"/>
    <x:mergeCell ref="B30:B31"/>
    <x:mergeCell ref="C30:C31"/>
    <x:mergeCell ref="D30:D31"/>
    <x:mergeCell ref="E30:E31"/>
    <x:mergeCell ref="F30:F31"/>
    <x:mergeCell ref="G30:G31"/>
    <x:mergeCell ref="A25:B26"/>
    <x:mergeCell ref="D25:F26"/>
    <x:mergeCell ref="I25:I26"/>
    <x:mergeCell ref="J25:J26"/>
    <x:mergeCell ref="K25:K26"/>
    <x:mergeCell ref="M30:Z30"/>
    <x:mergeCell ref="C27:C28"/>
    <x:mergeCell ref="H30:H31"/>
    <x:mergeCell ref="J30:J31"/>
    <x:mergeCell ref="K30:K31"/>
    <x:mergeCell ref="A3:B4"/>
    <x:mergeCell ref="D3:F4"/>
    <x:mergeCell ref="I3:I4"/>
    <x:mergeCell ref="J3:J4"/>
    <x:mergeCell ref="K3:K4"/>
    <x:mergeCell ref="E8:E9"/>
    <x:mergeCell ref="F8:F9"/>
    <x:mergeCell ref="G8:G9"/>
    <x:mergeCell ref="A5:B6"/>
    <x:mergeCell ref="C5:C6"/>
    <x:mergeCell ref="D5:F6"/>
    <x:mergeCell ref="G5:G6"/>
    <x:mergeCell ref="A7:B7"/>
    <x:mergeCell ref="A8:A9"/>
    <x:mergeCell ref="B8:B9"/>
    <x:mergeCell ref="C8:C9"/>
    <x:mergeCell ref="D8:D9"/>
    <x:mergeCell ref="H8:H9"/>
    <x:mergeCell ref="J8:J9"/>
    <x:mergeCell ref="K8:K9"/>
    <x:mergeCell ref="M8:Z8"/>
    <x:mergeCell ref="J5:J6"/>
    <x:mergeCell ref="K5:K6"/>
    <x:mergeCell ref="H5:H6"/>
    <x:mergeCell ref="I5:I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6.7109375" customWidth="1"/>
    <x:col min="3" max="3" width="22.7109375" customWidth="1"/>
    <x:col min="4" max="4" width="30.7109375" customWidth="1"/>
    <x:col min="5" max="5" width="16.42578125" customWidth="1"/>
    <x:col min="6" max="6" width="37.5" hidden="0" customWidth="1"/>
    <x:col min="7" max="7" width="70.28515625" customWidth="1"/>
    <x:col min="8" max="8" width="15.140625" customWidth="1"/>
  </x:cols>
  <x:sheetData>
    <x:row r="1" ht="29.25">
      <x:c r="B1" s="133" t="s">
        <x:v>85</x:v>
      </x:c>
      <x:c r="C1" s="134"/>
      <x:c r="D1" s="134"/>
      <x:c r="E1" s="134"/>
      <x:c r="F1" s="134"/>
      <x:c r="G1" s="134"/>
      <x:c r="H1" s="135"/>
    </x:row>
    <x:row r="2" ht="15.75"/>
    <x:row r="3" ht="15.75">
      <x:c r="B3" s="112" t="s">
        <x:v>13</x:v>
      </x:c>
      <x:c r="C3" s="112" t="s">
        <x:v>86</x:v>
      </x:c>
      <x:c r="D3" s="112" t="s">
        <x:v>87</x:v>
      </x:c>
      <x:c r="E3" s="112" t="s">
        <x:v>16</x:v>
      </x:c>
      <x:c r="F3" s="98" t="s">
        <x:v>88</x:v>
      </x:c>
      <x:c r="G3" s="98" t="s">
        <x:v>89</x:v>
      </x:c>
      <x:c r="H3" s="98" t="s">
        <x:v>19</x:v>
      </x:c>
    </x:row>
    <x:row r="4" ht="15.75">
      <x:c r="B4" s="113"/>
      <x:c r="C4" s="113"/>
      <x:c r="D4" s="113"/>
      <x:c r="E4" s="113"/>
      <x:c r="F4" s="99"/>
      <x:c r="G4" s="99"/>
      <x:c r="H4" s="99"/>
    </x:row>
    <x:row r="5" ht="105.75" customHeight="1">
      <x:c r="B5" s="9" t="s">
        <x:v>23</x:v>
      </x:c>
      <x:c r="C5" s="10" t="s">
        <x:v>24</x:v>
      </x:c>
      <x:c r="D5" s="10" t="s">
        <x:v>25</x:v>
      </x:c>
      <x:c r="E5" s="10" t="s">
        <x:v>26</x:v>
      </x:c>
      <x:c r="F5" s="11"/>
      <x:c r="G5" s="11"/>
      <x:c r="H5" s="53" t="s">
        <x:v>27</x:v>
      </x:c>
    </x:row>
    <x:row r="6" ht="81">
      <x:c r="B6" s="9" t="s">
        <x:v>23</x:v>
      </x:c>
      <x:c r="C6" s="89" t="s">
        <x:v>62</x:v>
      </x:c>
      <x:c r="D6" s="89" t="s">
        <x:v>63</x:v>
      </x:c>
      <x:c r="E6" s="89" t="s">
        <x:v>61</x:v>
      </x:c>
      <x:c r="F6" s="90"/>
      <x:c r="G6" s="90"/>
      <x:c r="H6" s="53" t="s">
        <x:v>27</x:v>
      </x:c>
    </x:row>
    <x:row r="7" ht="54">
      <x:c r="B7" s="15" t="s">
        <x:v>23</x:v>
      </x:c>
      <x:c r="C7" s="63" t="s">
        <x:v>90</x:v>
      </x:c>
      <x:c r="D7" s="63" t="s">
        <x:v>29</x:v>
      </x:c>
      <x:c r="E7" s="63" t="s">
        <x:v>64</x:v>
      </x:c>
      <x:c r="F7" s="69"/>
      <x:c r="G7" s="69"/>
      <x:c r="H7" s="53" t="s">
        <x:v>27</x:v>
      </x:c>
    </x:row>
    <x:row r="8" ht="54">
      <x:c r="B8" s="15" t="s">
        <x:v>23</x:v>
      </x:c>
      <x:c r="C8" s="16" t="s">
        <x:v>91</x:v>
      </x:c>
      <x:c r="D8" s="16" t="s">
        <x:v>32</x:v>
      </x:c>
      <x:c r="E8" s="16" t="s">
        <x:v>68</x:v>
      </x:c>
      <x:c r="F8" s="17"/>
      <x:c r="G8" s="17"/>
      <x:c r="H8" s="53" t="s">
        <x:v>27</x:v>
      </x:c>
    </x:row>
    <x:row r="9" ht="67.5">
      <x:c r="B9" s="9" t="s">
        <x:v>23</x:v>
      </x:c>
      <x:c r="C9" s="84" t="s">
        <x:v>66</x:v>
      </x:c>
      <x:c r="D9" s="84" t="s">
        <x:v>67</x:v>
      </x:c>
      <x:c r="E9" s="84" t="s">
        <x:v>61</x:v>
      </x:c>
      <x:c r="F9" s="85"/>
      <x:c r="G9" s="85"/>
      <x:c r="H9" s="53" t="s">
        <x:v>27</x:v>
      </x:c>
    </x:row>
    <x:row r="10" ht="54">
      <x:c r="B10" s="15" t="s">
        <x:v>23</x:v>
      </x:c>
      <x:c r="C10" s="63" t="s">
        <x:v>69</x:v>
      </x:c>
      <x:c r="D10" s="63" t="s">
        <x:v>34</x:v>
      </x:c>
      <x:c r="E10" s="63" t="s">
        <x:v>64</x:v>
      </x:c>
      <x:c r="F10" s="69"/>
      <x:c r="G10" s="69"/>
      <x:c r="H10" s="53" t="s">
        <x:v>27</x:v>
      </x:c>
    </x:row>
    <x:row r="11" ht="94.5">
      <x:c r="B11" s="9" t="s">
        <x:v>23</x:v>
      </x:c>
      <x:c r="C11" s="26" t="s">
        <x:v>36</x:v>
      </x:c>
      <x:c r="D11" s="26" t="s">
        <x:v>37</x:v>
      </x:c>
      <x:c r="E11" s="26" t="s">
        <x:v>26</x:v>
      </x:c>
      <x:c r="F11" s="26"/>
      <x:c r="G11" s="26"/>
      <x:c r="H11" s="50" t="s">
        <x:v>38</x:v>
      </x:c>
    </x:row>
    <x:row r="12" ht="84" hidden="0" customHeight="1">
      <x:c r="B12" s="9" t="s">
        <x:v>23</x:v>
      </x:c>
      <x:c r="C12" s="83" t="s">
        <x:v>70</x:v>
      </x:c>
      <x:c r="D12" s="83" t="str">
        <x:v>CRUD de especialidades y profesionales; alta de SNOMED local y fármacos; especialidad asociada y profesional requerido en signos vitales. Prescripciones incorporadas por entregable explícito de Entrega 4.</x:v>
      </x:c>
      <x:c r="E12" s="83" t="str">
        <x:v>Alejandro</x:v>
      </x:c>
      <x:c r="F12" s="139" t="str">
        <x:v>Entrega 4 implementada: catálogos, profesionales, autor de signos y prescripciones. Pruebas con bases temporales. Fechas y estados heredados de plantilla: no acreditan ejecución.</x:v>
      </x:c>
      <x:c r="G12" s="139" t="str">
        <x:v>Capturas de Entrega 4 en esta misma hoja, desde fila 28.</x:v>
      </x:c>
      <x:c r="H12" s="50" t="s">
        <x:v>38</x:v>
      </x:c>
    </x:row>
    <x:row r="13" ht="60" hidden="0" customHeight="1">
      <x:c r="B13" s="15" t="s">
        <x:v>23</x:v>
      </x:c>
      <x:c r="C13" s="63" t="s">
        <x:v>92</x:v>
      </x:c>
      <x:c r="D13" s="63" t="s">
        <x:v>40</x:v>
      </x:c>
      <x:c r="E13" s="63" t="str">
        <x:v>Alejandro</x:v>
      </x:c>
      <x:c r="F13" s="140" t="str">
        <x:v>HU-04: alta, edición y desactivación de especialidades; alta/listado/búsqueda SNOMED local; alta/listado de fármacos. Datos ficticios.</x:v>
      </x:c>
      <x:c r="G13" s="140" t="str">
        <x:v>Movimiento en tabla maestra: captura desde fila 30.</x:v>
      </x:c>
      <x:c r="H13" s="50" t="s">
        <x:v>38</x:v>
      </x:c>
    </x:row>
    <x:row r="14" ht="48" hidden="0" customHeight="1">
      <x:c r="B14" s="15" t="s">
        <x:v>23</x:v>
      </x:c>
      <x:c r="C14" s="16" t="s">
        <x:v>93</x:v>
      </x:c>
      <x:c r="D14" s="16" t="s">
        <x:v>42</x:v>
      </x:c>
      <x:c r="E14" s="16" t="str">
        <x:v>Alejandro</x:v>
      </x:c>
      <x:c r="F14" s="141" t="str">
        <x:v>HU-05: CRUD con especialidad, DNI y matrícula únicos. Alta y modificación verificadas. Vigencia real de matrícula no validada por un registro externo.</x:v>
      </x:c>
      <x:c r="G14" s="141" t="str">
        <x:v>Alta y modificación de profesional: capturas desde filas 57 y 84.</x:v>
      </x:c>
      <x:c r="H14" s="42" t="s">
        <x:v>47</x:v>
      </x:c>
    </x:row>
    <x:row r="15" ht="108">
      <x:c r="B15" s="9" t="s">
        <x:v>23</x:v>
      </x:c>
      <x:c r="C15" s="83" t="s">
        <x:v>72</x:v>
      </x:c>
      <x:c r="D15" s="83" t="s">
        <x:v>94</x:v>
      </x:c>
      <x:c r="E15" s="83" t="s">
        <x:v>61</x:v>
      </x:c>
      <x:c r="F15" s="139"/>
      <x:c r="G15" s="139"/>
      <x:c r="H15" s="42" t="s">
        <x:v>47</x:v>
      </x:c>
    </x:row>
    <x:row r="16" ht="48" hidden="0" customHeight="1">
      <x:c r="B16" s="15" t="s">
        <x:v>23</x:v>
      </x:c>
      <x:c r="C16" s="63" t="s">
        <x:v>95</x:v>
      </x:c>
      <x:c r="D16" s="63" t="s">
        <x:v>96</x:v>
      </x:c>
      <x:c r="E16" s="63" t="str">
        <x:v>Alejandro</x:v>
      </x:c>
      <x:c r="F16" s="140" t="str">
        <x:v>Prescripciones: alta, consulta por paciente, detalle y anulación lógica. Incluidas por Entrega 4, aunque HU-06 figure en Sprint 4. XML y FHIR pendientes.</x:v>
      </x:c>
      <x:c r="G16" s="140" t="str">
        <x:v>Alta de prescripción: captura desde fila 111.</x:v>
      </x:c>
      <x:c r="H16" s="42" t="s">
        <x:v>47</x:v>
      </x:c>
    </x:row>
    <x:row r="17" ht="81">
      <x:c r="B17" s="15" t="s">
        <x:v>23</x:v>
      </x:c>
      <x:c r="C17" s="63" t="s">
        <x:v>97</x:v>
      </x:c>
      <x:c r="D17" s="63" t="s">
        <x:v>46</x:v>
      </x:c>
      <x:c r="E17" s="63" t="s">
        <x:v>64</x:v>
      </x:c>
      <x:c r="F17" s="69"/>
      <x:c r="G17" s="69"/>
      <x:c r="H17" s="42" t="s">
        <x:v>47</x:v>
      </x:c>
    </x:row>
    <x:row r="18" ht="54">
      <x:c r="B18" s="9" t="s">
        <x:v>23</x:v>
      </x:c>
      <x:c r="C18" s="86" t="s">
        <x:v>76</x:v>
      </x:c>
      <x:c r="D18" s="86" t="s">
        <x:v>77</x:v>
      </x:c>
      <x:c r="E18" s="86" t="s">
        <x:v>61</x:v>
      </x:c>
      <x:c r="F18" s="87"/>
      <x:c r="G18" s="87"/>
      <x:c r="H18" s="42" t="s">
        <x:v>47</x:v>
      </x:c>
    </x:row>
    <x:row r="19" ht="40.5">
      <x:c r="B19" s="15" t="s">
        <x:v>23</x:v>
      </x:c>
      <x:c r="C19" s="63" t="s">
        <x:v>78</x:v>
      </x:c>
      <x:c r="D19" s="63" t="s">
        <x:v>49</x:v>
      </x:c>
      <x:c r="E19" s="63" t="s">
        <x:v>64</x:v>
      </x:c>
      <x:c r="F19" s="69"/>
      <x:c r="G19" s="69"/>
      <x:c r="H19" s="42" t="s">
        <x:v>47</x:v>
      </x:c>
    </x:row>
    <x:row r="20" ht="67.5">
      <x:c r="B20" s="9" t="s">
        <x:v>23</x:v>
      </x:c>
      <x:c r="C20" s="36" t="s">
        <x:v>50</x:v>
      </x:c>
      <x:c r="D20" s="36" t="s">
        <x:v>51</x:v>
      </x:c>
      <x:c r="E20" s="36" t="s">
        <x:v>26</x:v>
      </x:c>
      <x:c r="F20" s="36"/>
      <x:c r="G20" s="36"/>
      <x:c r="H20" s="42" t="s">
        <x:v>47</x:v>
      </x:c>
    </x:row>
    <x:row r="21" ht="27">
      <x:c r="B21" s="9" t="s">
        <x:v>23</x:v>
      </x:c>
      <x:c r="C21" s="86" t="s">
        <x:v>79</x:v>
      </x:c>
      <x:c r="D21" s="86" t="s">
        <x:v>80</x:v>
      </x:c>
      <x:c r="E21" s="86" t="s">
        <x:v>61</x:v>
      </x:c>
      <x:c r="F21" s="87"/>
      <x:c r="G21" s="87"/>
      <x:c r="H21" s="42" t="s">
        <x:v>47</x:v>
      </x:c>
    </x:row>
    <x:row r="22" ht="54">
      <x:c r="B22" s="15" t="s">
        <x:v>23</x:v>
      </x:c>
      <x:c r="C22" s="63" t="s">
        <x:v>81</x:v>
      </x:c>
      <x:c r="D22" s="30" t="s">
        <x:v>53</x:v>
      </x:c>
      <x:c r="E22" s="63" t="s">
        <x:v>64</x:v>
      </x:c>
      <x:c r="F22" s="69"/>
      <x:c r="G22" s="69"/>
      <x:c r="H22" s="42" t="s">
        <x:v>47</x:v>
      </x:c>
    </x:row>
    <x:row r="23" ht="81">
      <x:c r="B23" s="9" t="s">
        <x:v>23</x:v>
      </x:c>
      <x:c r="C23" s="86" t="s">
        <x:v>82</x:v>
      </x:c>
      <x:c r="D23" s="86" t="s">
        <x:v>83</x:v>
      </x:c>
      <x:c r="E23" s="86" t="s">
        <x:v>61</x:v>
      </x:c>
      <x:c r="F23" s="87"/>
      <x:c r="G23" s="87"/>
      <x:c r="H23" s="42" t="s">
        <x:v>47</x:v>
      </x:c>
    </x:row>
    <x:row r="24" ht="67.5">
      <x:c r="B24" s="15" t="s">
        <x:v>23</x:v>
      </x:c>
      <x:c r="C24" s="63" t="s">
        <x:v>98</x:v>
      </x:c>
      <x:c r="D24" s="63" t="s">
        <x:v>56</x:v>
      </x:c>
      <x:c r="E24" s="63" t="s">
        <x:v>64</x:v>
      </x:c>
      <x:c r="F24" s="69"/>
      <x:c r="G24" s="69"/>
      <x:c r="H24" s="42" t="s">
        <x:v>47</x:v>
      </x:c>
    </x:row>
    <x:row r="25" ht="54">
      <x:c r="B25" s="15" t="s">
        <x:v>23</x:v>
      </x:c>
      <x:c r="C25" s="16" t="s">
        <x:v>99</x:v>
      </x:c>
      <x:c r="D25" s="16" t="s">
        <x:v>59</x:v>
      </x:c>
      <x:c r="E25" s="16" t="s">
        <x:v>68</x:v>
      </x:c>
      <x:c r="F25" s="17"/>
      <x:c r="G25" s="17"/>
      <x:c r="H25" s="42" t="s">
        <x:v>47</x:v>
      </x:c>
    </x:row>
    <x:row r="28">
      <x:c r="C28" s="142" t="str">
        <x:v>EVIDENCIAS ENTREGA 4 — datos ficticios — Alejandro</x:v>
      </x:c>
      <x:c r="D28" s="142"/>
      <x:c r="E28" s="142"/>
      <x:c r="F28" s="142"/>
      <x:c r="G28" s="142"/>
      <x:c r="H28" s="142"/>
    </x:row>
    <x:row r="30">
      <x:c r="C30" s="143" t="str">
        <x:v>HU-04 · Movimiento en especialidad</x:v>
      </x:c>
      <x:c r="D30" s="143"/>
      <x:c r="E30" s="143"/>
      <x:c r="F30" s="143"/>
      <x:c r="G30" s="143"/>
      <x:c r="H30" s="143"/>
    </x:row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7">
      <x:c r="C57" s="143" t="str">
        <x:v>HU-05 · Alta de profesional</x:v>
      </x:c>
      <x:c r="D57" s="143"/>
      <x:c r="E57" s="143"/>
      <x:c r="F57" s="143"/>
      <x:c r="G57" s="143"/>
      <x:c r="H57" s="143"/>
    </x:row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4">
      <x:c r="C84" s="143" t="str">
        <x:v>HU-05 · Modificación de contacto del profesional</x:v>
      </x:c>
      <x:c r="D84" s="143"/>
      <x:c r="E84" s="143"/>
      <x:c r="F84" s="143"/>
      <x:c r="G84" s="143"/>
      <x:c r="H84" s="143"/>
    </x:row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1">
      <x:c r="C111" s="143" t="str">
        <x:v>HU-06 adelantada · Alta de prescripción ficticia</x:v>
      </x:c>
      <x:c r="D111" s="143"/>
      <x:c r="E111" s="143"/>
      <x:c r="F111" s="143"/>
      <x:c r="G111" s="143"/>
      <x:c r="H111" s="143"/>
    </x:row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</x:sheetData>
  <x:mergeCells>
    <x:mergeCell ref="G3:G4"/>
    <x:mergeCell ref="H3:H4"/>
    <x:mergeCell ref="B1:H1"/>
    <x:mergeCell ref="B3:B4"/>
    <x:mergeCell ref="C3:C4"/>
    <x:mergeCell ref="D3:D4"/>
    <x:mergeCell ref="E3:E4"/>
    <x:mergeCell ref="F3:F4"/>
    <x:mergeCell ref="C28:H28"/>
    <x:mergeCell ref="C30:H30"/>
    <x:mergeCell ref="C57:H57"/>
    <x:mergeCell ref="C84:H84"/>
    <x:mergeCell ref="C111:H111"/>
  </x:mergeCells>
  <x:pageMargins left="0.7" right="0.7" top="0.75" bottom="0.75" header="0.3" footer="0.3"/>
  <x:drawing xmlns:r="http://schemas.openxmlformats.org/officeDocument/2006/relationships" r:id="R3bd406c843274172"/>
</x:worksheet>
</file>

<file path=xl/worksheets/sheet3.xml><?xml version="1.0" encoding="utf-8"?>
<x:worksheet xmlns:x="http://schemas.openxmlformats.org/spreadsheetml/2006/main">
  <x:sheetFormatPr baseColWidth="10" defaultRowHeight="15"/>
  <x:cols>
    <x:col min="1" max="1" width="20.5703125" customWidth="1"/>
    <x:col min="2" max="2" width="5.7109375" customWidth="1"/>
    <x:col min="3" max="3" width="20.5703125" customWidth="1"/>
    <x:col min="4" max="4" width="5.7109375" customWidth="1"/>
    <x:col min="5" max="5" width="20.5703125" customWidth="1"/>
  </x:cols>
  <x:sheetData>
    <x:row r="1" ht="30" customHeight="1">
      <x:c r="A1" s="44" t="s">
        <x:v>100</x:v>
      </x:c>
      <x:c r="B1" s="51"/>
      <x:c r="C1" s="44" t="s">
        <x:v>101</x:v>
      </x:c>
      <x:c r="D1" s="51"/>
      <x:c r="E1" s="44" t="s">
        <x:v>19</x:v>
      </x:c>
    </x:row>
    <x:row r="2" ht="30" customHeight="1">
      <x:c r="A2" s="45" t="s">
        <x:v>102</x:v>
      </x:c>
      <x:c r="B2" s="51"/>
      <x:c r="C2" s="46" t="s">
        <x:v>103</x:v>
      </x:c>
      <x:c r="D2" s="51"/>
      <x:c r="E2" s="47" t="s">
        <x:v>47</x:v>
      </x:c>
    </x:row>
    <x:row r="3" ht="30" customHeight="1">
      <x:c r="A3" s="48" t="s">
        <x:v>23</x:v>
      </x:c>
      <x:c r="B3" s="51"/>
      <x:c r="C3" s="49" t="s">
        <x:v>104</x:v>
      </x:c>
      <x:c r="D3" s="51"/>
      <x:c r="E3" s="50" t="s">
        <x:v>38</x:v>
      </x:c>
    </x:row>
    <x:row r="4" ht="30" customHeight="1">
      <x:c r="A4" s="51"/>
      <x:c r="B4" s="51"/>
      <x:c r="C4" s="52" t="s">
        <x:v>105</x:v>
      </x:c>
      <x:c r="D4" s="51"/>
      <x:c r="E4" s="53" t="s">
        <x:v>27</x:v>
      </x:c>
    </x:row>
    <x:row r="5" ht="30" customHeight="1">
      <x:c r="A5" s="51"/>
      <x:c r="B5" s="51"/>
      <x:c r="C5" s="54"/>
      <x:c r="D5" s="51"/>
      <x:c r="E5" s="55" t="s">
        <x:v>106</x:v>
      </x:c>
    </x:row>
    <x:row r="6" ht="30" customHeight="1">
      <x:c r="A6" s="51"/>
      <x:c r="B6" s="51"/>
      <x:c r="C6" s="54"/>
      <x:c r="D6" s="51"/>
      <x:c r="E6" s="56" t="s">
        <x:v>107</x:v>
      </x:c>
    </x:row>
    <x:row r="7" ht="30" customHeight="1">
      <x:c r="A7" s="51"/>
      <x:c r="B7" s="51"/>
      <x:c r="C7" s="57"/>
      <x:c r="D7" s="51"/>
      <x:c r="E7" s="58" t="s">
        <x:v>108</x:v>
      </x:c>
    </x:row>
    <x:row r="8" ht="30" customHeight="1">
      <x:c r="A8" s="51"/>
      <x:c r="B8" s="51"/>
      <x:c r="C8" s="57"/>
      <x:c r="D8" s="51"/>
      <x:c r="E8" s="59" t="s">
        <x:v>109</x:v>
      </x:c>
    </x:row>
  </x:sheetData>
  <x:pageMargins left="0.7" right="0.7" top="0.75" bottom="0.75" header="0.3" footer="0.3"/>
</x:worksheet>
</file>